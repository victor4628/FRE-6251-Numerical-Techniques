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vaskoff/Documents/GitHub/FRE-6251-Numerical-Techniques/Project2_Var/outputs/project2-var/"/>
    </mc:Choice>
  </mc:AlternateContent>
  <xr:revisionPtr revIDLastSave="0" documentId="13_ncr:1_{D0061628-CA5E-6748-88C8-3C365BF3907A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Results" sheetId="1" r:id="rId1"/>
    <sheet name="Runs" sheetId="3" r:id="rId2"/>
    <sheet name="Inputs" sheetId="2" r:id="rId3"/>
    <sheet name="Validation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5" i="3" l="1"/>
  <c r="O25" i="3"/>
  <c r="N25" i="3"/>
  <c r="M25" i="3"/>
  <c r="L25" i="3"/>
  <c r="P24" i="3"/>
  <c r="O24" i="3"/>
  <c r="N24" i="3"/>
  <c r="M24" i="3"/>
  <c r="L24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P19" i="3"/>
  <c r="O19" i="3"/>
  <c r="N19" i="3"/>
  <c r="M19" i="3"/>
  <c r="L19" i="3"/>
  <c r="P18" i="3"/>
  <c r="O18" i="3"/>
  <c r="N18" i="3"/>
  <c r="M18" i="3"/>
  <c r="L18" i="3"/>
  <c r="P17" i="3"/>
  <c r="O17" i="3"/>
  <c r="N17" i="3"/>
  <c r="M17" i="3"/>
  <c r="L17" i="3"/>
  <c r="P16" i="3"/>
  <c r="O16" i="3"/>
  <c r="N16" i="3"/>
  <c r="M16" i="3"/>
  <c r="L16" i="3"/>
  <c r="P15" i="3"/>
  <c r="O15" i="3"/>
  <c r="N15" i="3"/>
  <c r="M15" i="3"/>
  <c r="L15" i="3"/>
  <c r="P14" i="3"/>
  <c r="O14" i="3"/>
  <c r="N14" i="3"/>
  <c r="M14" i="3"/>
  <c r="L14" i="3"/>
  <c r="P13" i="3"/>
  <c r="O13" i="3"/>
  <c r="N13" i="3"/>
  <c r="M13" i="3"/>
  <c r="L13" i="3"/>
  <c r="P12" i="3"/>
  <c r="O12" i="3"/>
  <c r="N12" i="3"/>
  <c r="M12" i="3"/>
  <c r="L12" i="3"/>
  <c r="P11" i="3"/>
  <c r="O11" i="3"/>
  <c r="N11" i="3"/>
  <c r="M11" i="3"/>
  <c r="L11" i="3"/>
  <c r="P10" i="3"/>
  <c r="O10" i="3"/>
  <c r="N10" i="3"/>
  <c r="M10" i="3"/>
  <c r="L10" i="3"/>
  <c r="P9" i="3"/>
  <c r="O9" i="3"/>
  <c r="N9" i="3"/>
  <c r="M9" i="3"/>
  <c r="L9" i="3"/>
  <c r="P8" i="3"/>
  <c r="O8" i="3"/>
  <c r="N8" i="3"/>
  <c r="M8" i="3"/>
  <c r="L8" i="3"/>
  <c r="P7" i="3"/>
  <c r="O7" i="3"/>
  <c r="N7" i="3"/>
  <c r="M7" i="3"/>
  <c r="L7" i="3"/>
  <c r="P6" i="3"/>
  <c r="O6" i="3"/>
  <c r="N6" i="3"/>
  <c r="M6" i="3"/>
  <c r="L6" i="3"/>
  <c r="B41" i="1"/>
  <c r="C6" i="1"/>
</calcChain>
</file>

<file path=xl/sharedStrings.xml><?xml version="1.0" encoding="utf-8"?>
<sst xmlns="http://schemas.openxmlformats.org/spreadsheetml/2006/main" count="135" uniqueCount="112">
  <si>
    <t>Analytic loss VaR (USD)</t>
  </si>
  <si>
    <t>1% P&amp;L quantile (USD)</t>
  </si>
  <si>
    <t>Daily P&amp;L stdev (USD)</t>
  </si>
  <si>
    <t>Net initial value (USD)</t>
  </si>
  <si>
    <t>Scenarios N</t>
  </si>
  <si>
    <t>Rank k</t>
  </si>
  <si>
    <t>Bias of P&amp;L q</t>
  </si>
  <si>
    <t>RMSE (USD)</t>
  </si>
  <si>
    <t>MSE / theory</t>
  </si>
  <si>
    <t>VBA: MSE = average of 20 squared quantile errors; RMSE = Sqr(MSE).</t>
  </si>
  <si>
    <t>Log-log MSE slope</t>
  </si>
  <si>
    <t>Theory: MSE slope -1; RMSE slope -0.5.</t>
  </si>
  <si>
    <t>Run information</t>
  </si>
  <si>
    <t>Execution status</t>
  </si>
  <si>
    <t>Complete - VBA executed</t>
  </si>
  <si>
    <t>Base seed</t>
  </si>
  <si>
    <t>Generated (local time)</t>
  </si>
  <si>
    <t>Run time (seconds)</t>
  </si>
  <si>
    <t>Saved analytic P&amp;L q</t>
  </si>
  <si>
    <t>Simulation inputs</t>
  </si>
  <si>
    <t>Calculation engine</t>
  </si>
  <si>
    <t>Excel VBA</t>
  </si>
  <si>
    <t>RunProject2 creates the sheets, runs all 100 estimates, calculates summaries and draws the log-log chart.</t>
  </si>
  <si>
    <t>No Python, external data or precomputed simulation results are needed.</t>
  </si>
  <si>
    <t>Edit blue inputs on Inputs and rerun. Numerical results update only when the VBA macro runs.</t>
  </si>
  <si>
    <t>To export the completed Results sheet as PDF, run ExportProject2PDF after RunProject2.</t>
  </si>
  <si>
    <t>Last simulation input snapshot</t>
  </si>
  <si>
    <t>Ticker</t>
  </si>
  <si>
    <t>USD price / share</t>
  </si>
  <si>
    <t>Annual volatility</t>
  </si>
  <si>
    <t>Shares held</t>
  </si>
  <si>
    <t>Market value</t>
  </si>
  <si>
    <t>Annual USD exposure</t>
  </si>
  <si>
    <t>Price</t>
  </si>
  <si>
    <t>Volatility</t>
  </si>
  <si>
    <t>Shares</t>
  </si>
  <si>
    <t>C</t>
  </si>
  <si>
    <t>GS</t>
  </si>
  <si>
    <t>MSFT</t>
  </si>
  <si>
    <t>Horizon / tail / runs / seed</t>
  </si>
  <si>
    <t>Horizon in years</t>
  </si>
  <si>
    <t>Lower-tail probability</t>
  </si>
  <si>
    <t>Repetitions per N</t>
  </si>
  <si>
    <t>Base random seed</t>
  </si>
  <si>
    <t>Correlation matrix</t>
  </si>
  <si>
    <t>Correlation snapshot</t>
  </si>
  <si>
    <t>VBA Cholesky factor L</t>
  </si>
  <si>
    <t>Daily covariance contributions (USD^2)</t>
  </si>
  <si>
    <t>Initial portfolio value (USD)</t>
  </si>
  <si>
    <t>Daily variance (USD^2)</t>
  </si>
  <si>
    <t>Daily standard deviation (USD)</t>
  </si>
  <si>
    <t>Analytic P&amp;L 1% quantile</t>
  </si>
  <si>
    <t>Standard-normal 1% quantile</t>
  </si>
  <si>
    <t>Density at quantile (1/USD)</t>
  </si>
  <si>
    <t>MSE coefficient C (USD^2)</t>
  </si>
  <si>
    <t>Individual VBA simulation estimates</t>
  </si>
  <si>
    <t>Each row is calculated in VBA; error = signed quantile minus analytic benchmark.</t>
  </si>
  <si>
    <t>Repetition</t>
  </si>
  <si>
    <t>Starting RNG state</t>
  </si>
  <si>
    <t>P&amp;L quantile</t>
  </si>
  <si>
    <t>Loss VaR</t>
  </si>
  <si>
    <t>Signed error</t>
  </si>
  <si>
    <t>Squared error</t>
  </si>
  <si>
    <t>Ending RNG state</t>
  </si>
  <si>
    <t>VBA algorithm validation</t>
  </si>
  <si>
    <t>RunProject2 executes every check below in VBA before generating the 100 VaR estimates.</t>
  </si>
  <si>
    <t>Check</t>
  </si>
  <si>
    <t>Observed</t>
  </si>
  <si>
    <t>Expected / tolerance</t>
  </si>
  <si>
    <t>Meaning</t>
  </si>
  <si>
    <t>Max absolute L L^T residual</t>
  </si>
  <si>
    <t>&lt;= 1E-12</t>
  </si>
  <si>
    <t>Reconstructs the supplied correlation matrix</t>
  </si>
  <si>
    <t>Park-Miller state at step 10,000</t>
  </si>
  <si>
    <t>Initial state = 1</t>
  </si>
  <si>
    <t>Random quicksort ordered</t>
  </si>
  <si>
    <t>10,000 generated normal values</t>
  </si>
  <si>
    <t>Sort sum difference</t>
  </si>
  <si>
    <t>&lt;= 1E-8</t>
  </si>
  <si>
    <t>Preservation diagnostic</t>
  </si>
  <si>
    <t>Sort sum of squares difference</t>
  </si>
  <si>
    <t>&lt;= 1E-6</t>
  </si>
  <si>
    <t>Duplicates and negative values</t>
  </si>
  <si>
    <t>Expected: -1, -1, 0, 3, 3, 9</t>
  </si>
  <si>
    <t>Reverse, sorted, singleton arrays</t>
  </si>
  <si>
    <t>Exact equality to expected array</t>
  </si>
  <si>
    <t>1% order statistic of 1..1,000</t>
  </si>
  <si>
    <t>One-based rank k = 10</t>
  </si>
  <si>
    <t>Normal generator sample mean</t>
  </si>
  <si>
    <t>100,000 draws; statistical diagnostic</t>
  </si>
  <si>
    <t>Normal generator sample variance</t>
  </si>
  <si>
    <t>Validation engine</t>
  </si>
  <si>
    <t>VBA executed</t>
  </si>
  <si>
    <t>Independent sort comparison</t>
  </si>
  <si>
    <t>Exact match</t>
  </si>
  <si>
    <t>Insertion sort versus quicksort on 128 random values</t>
  </si>
  <si>
    <t>VBA correlation diagnostic</t>
  </si>
  <si>
    <t>100,000 generated correlated vectors; separate seed 97531.</t>
  </si>
  <si>
    <t>Quicksort is checked against an independently implemented insertion sort.</t>
  </si>
  <si>
    <t>Statistical moments and correlations are diagnostics, not exact pass/fail identities.</t>
  </si>
  <si>
    <t>Project II  Monte Carlo VaR</t>
  </si>
  <si>
    <t>Mean loss VaR (USD)</t>
  </si>
  <si>
    <t>MSE (USD^2)</t>
  </si>
  <si>
    <t>Theory MSE (USD^2)</t>
  </si>
  <si>
    <t>Answers</t>
  </si>
  <si>
    <t>Does the error agree with the formula? The fitted log-log MSE slope is -0.939, close to -1. This agrees with MSE approximately proportional to 1/N, allowing for fluctuation from 20 runs.</t>
  </si>
  <si>
    <t>Why does the logarithm base not matter in O(N log N)? Since log_b(N) = ln(N)/ln(b), changing the base only changes a constant factor, which does not affect the order of complexity.</t>
  </si>
  <si>
    <t>Individual 1% P&amp;L quantiles (USD)</t>
  </si>
  <si>
    <t>Run</t>
  </si>
  <si>
    <t>Inputs</t>
  </si>
  <si>
    <t>Source: Project II Revised Yet Again.pdf</t>
  </si>
  <si>
    <t>Edit inputs and run RunProject2 to recalculate.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</si>
</sst>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yyyy\-mm\-dd\ hh:mm"/>
    <numFmt numFmtId="166" formatCode="0.0%"/>
    <numFmt numFmtId="167" formatCode="#,##0;\(#,##0\)"/>
    <numFmt numFmtId="168" formatCode="0.00000000"/>
    <numFmt numFmtId="169" formatCode="0.000000E+00"/>
    <numFmt numFmtId="170" formatCode="0.0000"/>
    <numFmt numFmtId="171" formatCode="0.000E+00"/>
    <numFmt numFmtId="172" formatCode="0.000000"/>
    <numFmt numFmtId="173" formatCode="#,##0.00;\(#,##0.00\)"/>
    <numFmt numFmtId="174" formatCode="#,##0.00;\(#,##0.00\);&quot;-&quot;"/>
  </numFmts>
  <fonts count="12">
    <font>
      <sz val="11"/>
      <name val="Carlito"/>
    </font>
    <font>
      <sz val="10"/>
      <color rgb="FF172B4D"/>
      <name val="Arial"/>
      <family val="2"/>
    </font>
    <font>
      <b/>
      <sz val="16"/>
      <color rgb="FF243B53"/>
      <name val="Arial"/>
      <family val="2"/>
    </font>
    <font>
      <b/>
      <sz val="10"/>
      <color rgb="FFFFFFFF"/>
      <name val="Arial"/>
      <family val="2"/>
    </font>
    <font>
      <b/>
      <sz val="10"/>
      <color rgb="FF172B4D"/>
      <name val="Arial"/>
      <family val="2"/>
    </font>
    <font>
      <sz val="10"/>
      <color rgb="FF0000FF"/>
      <name val="Arial"/>
      <family val="2"/>
    </font>
    <font>
      <b/>
      <sz val="10"/>
      <color rgb="FF243B53"/>
      <name val="Arial"/>
      <family val="2"/>
    </font>
    <font>
      <sz val="10"/>
      <name val="Arial"/>
      <family val="2"/>
    </font>
    <font>
      <b/>
      <sz val="14"/>
      <color rgb="FF243B53"/>
      <name val="Arial"/>
      <family val="2"/>
    </font>
    <font>
      <b/>
      <sz val="11"/>
      <color rgb="FF172B4D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E9EFF5"/>
      </patternFill>
    </fill>
    <fill>
      <patternFill patternType="solid">
        <fgColor rgb="FF243B53"/>
      </patternFill>
    </fill>
    <fill>
      <patternFill patternType="solid">
        <fgColor rgb="FFE9EFF5"/>
      </patternFill>
    </fill>
    <fill>
      <patternFill patternType="solid">
        <fgColor rgb="FF243B53"/>
      </patternFill>
    </fill>
  </fills>
  <borders count="8">
    <border>
      <left/>
      <right/>
      <top/>
      <bottom/>
      <diagonal/>
    </border>
    <border>
      <left style="thin">
        <color rgb="FFB4C0CB"/>
      </left>
      <right style="thin">
        <color rgb="FFB4C0CB"/>
      </right>
      <top style="thin">
        <color rgb="FFB4C0CB"/>
      </top>
      <bottom style="thin">
        <color rgb="FFB4C0CB"/>
      </bottom>
      <diagonal/>
    </border>
    <border>
      <left style="thin">
        <color rgb="FFB4C0CB"/>
      </left>
      <right/>
      <top style="thin">
        <color rgb="FFB4C0CB"/>
      </top>
      <bottom/>
      <diagonal/>
    </border>
    <border>
      <left/>
      <right/>
      <top style="thin">
        <color rgb="FFB4C0CB"/>
      </top>
      <bottom/>
      <diagonal/>
    </border>
    <border>
      <left/>
      <right style="thin">
        <color rgb="FFB4C0CB"/>
      </right>
      <top style="thin">
        <color rgb="FFB4C0CB"/>
      </top>
      <bottom/>
      <diagonal/>
    </border>
    <border>
      <left style="thin">
        <color rgb="FFB4C0CB"/>
      </left>
      <right/>
      <top/>
      <bottom style="thin">
        <color rgb="FFB4C0CB"/>
      </bottom>
      <diagonal/>
    </border>
    <border>
      <left/>
      <right/>
      <top/>
      <bottom style="thin">
        <color rgb="FFB4C0CB"/>
      </bottom>
      <diagonal/>
    </border>
    <border>
      <left/>
      <right style="thin">
        <color rgb="FFB4C0CB"/>
      </right>
      <top/>
      <bottom style="thin">
        <color rgb="FFB4C0CB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4" fillId="2" borderId="0" xfId="0" applyFont="1" applyFill="1" applyAlignment="1">
      <alignment vertical="center"/>
    </xf>
    <xf numFmtId="165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" fontId="1" fillId="0" borderId="0" xfId="0" applyNumberFormat="1" applyFont="1" applyAlignment="1">
      <alignment vertical="center"/>
    </xf>
    <xf numFmtId="1" fontId="1" fillId="0" borderId="0" xfId="0" applyNumberFormat="1" applyFont="1"/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173" fontId="1" fillId="0" borderId="0" xfId="0" applyNumberFormat="1" applyFont="1" applyAlignment="1">
      <alignment vertical="center"/>
    </xf>
    <xf numFmtId="173" fontId="1" fillId="0" borderId="0" xfId="0" applyNumberFormat="1" applyFont="1"/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1" xfId="0" applyFont="1" applyFill="1" applyBorder="1" applyAlignment="1">
      <alignment vertical="center"/>
    </xf>
    <xf numFmtId="174" fontId="4" fillId="4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173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/>
    <xf numFmtId="0" fontId="3" fillId="5" borderId="1" xfId="0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11" fillId="5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vertical="center"/>
    </xf>
    <xf numFmtId="174" fontId="1" fillId="0" borderId="1" xfId="0" applyNumberFormat="1" applyFont="1" applyBorder="1" applyAlignment="1">
      <alignment vertical="center"/>
    </xf>
    <xf numFmtId="174" fontId="10" fillId="0" borderId="1" xfId="0" applyNumberFormat="1" applyFont="1" applyBorder="1"/>
    <xf numFmtId="0" fontId="1" fillId="0" borderId="1" xfId="0" applyFont="1" applyBorder="1" applyAlignment="1">
      <alignment vertical="center"/>
    </xf>
    <xf numFmtId="2" fontId="5" fillId="0" borderId="1" xfId="0" applyNumberFormat="1" applyFont="1" applyBorder="1" applyAlignment="1">
      <alignment vertical="center"/>
    </xf>
    <xf numFmtId="166" fontId="5" fillId="0" borderId="1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68" fontId="5" fillId="0" borderId="1" xfId="0" applyNumberFormat="1" applyFont="1" applyBorder="1" applyAlignment="1">
      <alignment vertical="center"/>
    </xf>
    <xf numFmtId="1" fontId="5" fillId="0" borderId="1" xfId="0" applyNumberFormat="1" applyFont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168" fontId="1" fillId="0" borderId="1" xfId="0" applyNumberFormat="1" applyFont="1" applyBorder="1" applyAlignment="1">
      <alignment vertical="center"/>
    </xf>
    <xf numFmtId="171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72" fontId="1" fillId="0" borderId="1" xfId="0" applyNumberFormat="1" applyFont="1" applyBorder="1" applyAlignment="1">
      <alignment vertical="center"/>
    </xf>
    <xf numFmtId="170" fontId="1" fillId="0" borderId="1" xfId="0" applyNumberFormat="1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3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Monte Carlo MSE convergence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Empirical MSE (20 VBA runs)</c:v>
          </c:tx>
          <c:spPr>
            <a:ln>
              <a:solidFill>
                <a:srgbClr val="1763A6"/>
              </a:solidFill>
            </a:ln>
          </c:spPr>
          <c:marker>
            <c:spPr>
              <a:ln>
                <a:solidFill>
                  <a:srgbClr val="1763A6"/>
                </a:solidFill>
              </a:ln>
            </c:spPr>
          </c:marker>
          <c:xVal>
            <c:numRef>
              <c:f>Results!$A$9:$A$13</c:f>
              <c:numCache>
                <c:formatCode>#,##0</c:formatCode>
                <c:ptCount val="5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50000</c:v>
                </c:pt>
                <c:pt idx="4">
                  <c:v>100000</c:v>
                </c:pt>
              </c:numCache>
            </c:numRef>
          </c:xVal>
          <c:yVal>
            <c:numRef>
              <c:f>Results!$E$9:$E$13</c:f>
              <c:numCache>
                <c:formatCode>#,##0.00;\(#,##0.00\)</c:formatCode>
                <c:ptCount val="5"/>
                <c:pt idx="0">
                  <c:v>181741409.15816385</c:v>
                </c:pt>
                <c:pt idx="1">
                  <c:v>36594882.167060897</c:v>
                </c:pt>
                <c:pt idx="2">
                  <c:v>20624838.501353096</c:v>
                </c:pt>
                <c:pt idx="3">
                  <c:v>6187736.2216868084</c:v>
                </c:pt>
                <c:pt idx="4">
                  <c:v>1899517.7170033313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4-DD45-9707-CFECEAE3E2BA}"/>
            </c:ext>
          </c:extLst>
        </c:ser>
        <c:ser>
          <c:idx val="1"/>
          <c:order val="1"/>
          <c:tx>
            <c:v>Asymptotic theory C / N</c:v>
          </c:tx>
          <c:spPr>
            <a:ln>
              <a:solidFill>
                <a:srgbClr val="8A6C3A"/>
              </a:solidFill>
              <a:prstDash val="dash"/>
            </a:ln>
          </c:spPr>
          <c:marker>
            <c:spPr>
              <a:ln>
                <a:solidFill>
                  <a:srgbClr val="8A6C3A"/>
                </a:solidFill>
                <a:prstDash val="dash"/>
              </a:ln>
            </c:spPr>
          </c:marker>
          <c:xVal>
            <c:numRef>
              <c:f>Results!$A$9:$A$13</c:f>
              <c:numCache>
                <c:formatCode>#,##0</c:formatCode>
                <c:ptCount val="5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50000</c:v>
                </c:pt>
                <c:pt idx="4">
                  <c:v>100000</c:v>
                </c:pt>
              </c:numCache>
            </c:numRef>
          </c:xVal>
          <c:yVal>
            <c:numRef>
              <c:f>Results!$G$9:$G$13</c:f>
              <c:numCache>
                <c:formatCode>#,##0.00;\(#,##0.00\)</c:formatCode>
                <c:ptCount val="5"/>
                <c:pt idx="0">
                  <c:v>237319928.00525391</c:v>
                </c:pt>
                <c:pt idx="1">
                  <c:v>47463985.601050779</c:v>
                </c:pt>
                <c:pt idx="2">
                  <c:v>23731992.80052539</c:v>
                </c:pt>
                <c:pt idx="3">
                  <c:v>4746398.5601050779</c:v>
                </c:pt>
                <c:pt idx="4">
                  <c:v>2373199.280052539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74-DD45-9707-CFECEAE3E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36560"/>
        <c:axId val="2085595744"/>
      </c:scatterChart>
      <c:valAx>
        <c:axId val="2085595744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buNone/>
                </a:pPr>
                <a:r>
                  <a:rPr lang="en-US"/>
                  <a:t>MSE in USD^2 (log scale)</a:t>
                </a:r>
              </a:p>
            </c:rich>
          </c:tx>
          <c:overlay val="0"/>
        </c:title>
        <c:numFmt formatCode="#,##0.00;\(#,##0.00\)" sourceLinked="1"/>
        <c:majorTickMark val="out"/>
        <c:minorTickMark val="none"/>
        <c:tickLblPos val="nextTo"/>
        <c:crossAx val="758236560"/>
        <c:crosses val="autoZero"/>
        <c:crossBetween val="midCat"/>
      </c:valAx>
      <c:valAx>
        <c:axId val="758236560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buNone/>
                </a:pPr>
                <a:r>
                  <a:rPr lang="en-US"/>
                  <a:t>Scenarios N (log scale)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085595744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43B53"/>
  </sheetPr>
  <dimension ref="A1:M65"/>
  <sheetViews>
    <sheetView showGridLines="0" tabSelected="1" workbookViewId="0"/>
  </sheetViews>
  <sheetFormatPr baseColWidth="10" defaultColWidth="8.83203125" defaultRowHeight="14"/>
  <cols>
    <col min="1" max="1" width="29" customWidth="1"/>
    <col min="2" max="2" width="18.83203125" hidden="1" customWidth="1"/>
    <col min="3" max="3" width="21" customWidth="1"/>
    <col min="4" max="4" width="22.83203125" hidden="1" customWidth="1"/>
    <col min="5" max="5" width="22" customWidth="1"/>
    <col min="6" max="6" width="18.83203125" hidden="1" customWidth="1"/>
    <col min="7" max="7" width="22" customWidth="1"/>
    <col min="8" max="8" width="18.83203125" hidden="1" customWidth="1"/>
    <col min="9" max="13" width="18.83203125" customWidth="1"/>
  </cols>
  <sheetData>
    <row r="1" spans="1:13" ht="22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2" customHeight="1">
      <c r="A2" s="18" t="s">
        <v>100</v>
      </c>
      <c r="B2" s="13"/>
      <c r="C2" s="13"/>
      <c r="D2" s="13"/>
      <c r="E2" s="13"/>
      <c r="F2" s="13"/>
      <c r="G2" s="13"/>
      <c r="H2" s="13"/>
      <c r="I2" s="1"/>
      <c r="J2" s="1"/>
      <c r="K2" s="1"/>
      <c r="L2" s="1"/>
      <c r="M2" s="1"/>
    </row>
    <row r="3" spans="1:13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2" hidden="1" customHeight="1">
      <c r="A4" s="1" t="s">
        <v>0</v>
      </c>
      <c r="B4" s="15">
        <v>303568.20776237652</v>
      </c>
      <c r="C4" s="1"/>
      <c r="D4" s="1" t="s">
        <v>1</v>
      </c>
      <c r="E4" s="1"/>
      <c r="F4" s="15">
        <v>-303568.20776237652</v>
      </c>
      <c r="G4" s="1"/>
      <c r="H4" s="1"/>
      <c r="I4" s="1"/>
      <c r="J4" s="1"/>
      <c r="K4" s="1"/>
      <c r="L4" s="1"/>
      <c r="M4" s="1"/>
    </row>
    <row r="5" spans="1:13" ht="22" hidden="1" customHeight="1">
      <c r="A5" s="1" t="s">
        <v>2</v>
      </c>
      <c r="B5" s="15">
        <v>130491.3212464144</v>
      </c>
      <c r="C5" s="1"/>
      <c r="D5" s="1" t="s">
        <v>3</v>
      </c>
      <c r="E5" s="1"/>
      <c r="F5" s="15">
        <v>-750000</v>
      </c>
      <c r="G5" s="1"/>
      <c r="H5" s="1"/>
      <c r="I5" s="1"/>
      <c r="J5" s="1"/>
      <c r="K5" s="1"/>
      <c r="L5" s="1"/>
      <c r="M5" s="1"/>
    </row>
    <row r="6" spans="1:13" ht="22" customHeight="1">
      <c r="A6" s="20" t="s">
        <v>0</v>
      </c>
      <c r="B6" s="20"/>
      <c r="C6" s="21">
        <f>$B$4</f>
        <v>303568.20776237652</v>
      </c>
      <c r="D6" s="19"/>
      <c r="E6" s="19"/>
      <c r="F6" s="19"/>
      <c r="G6" s="19"/>
      <c r="H6" s="19"/>
      <c r="I6" s="1"/>
      <c r="J6" s="1"/>
      <c r="K6" s="1"/>
      <c r="L6" s="1"/>
      <c r="M6" s="1"/>
    </row>
    <row r="7" spans="1:13" ht="22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ht="34" customHeight="1">
      <c r="A8" s="22" t="s">
        <v>4</v>
      </c>
      <c r="B8" s="22" t="s">
        <v>5</v>
      </c>
      <c r="C8" s="22" t="s">
        <v>101</v>
      </c>
      <c r="D8" s="22" t="s">
        <v>6</v>
      </c>
      <c r="E8" s="22" t="s">
        <v>102</v>
      </c>
      <c r="F8" s="22" t="s">
        <v>7</v>
      </c>
      <c r="G8" s="22" t="s">
        <v>103</v>
      </c>
      <c r="H8" s="22" t="s">
        <v>8</v>
      </c>
      <c r="I8" s="1"/>
      <c r="J8" s="1"/>
      <c r="K8" s="1"/>
      <c r="L8" s="1"/>
      <c r="M8" s="1"/>
    </row>
    <row r="9" spans="1:13" ht="22" customHeight="1">
      <c r="A9" s="23">
        <v>1000</v>
      </c>
      <c r="B9" s="23">
        <v>10</v>
      </c>
      <c r="C9" s="24">
        <v>303780.83223203092</v>
      </c>
      <c r="D9" s="24">
        <v>-212.62446965447162</v>
      </c>
      <c r="E9" s="24">
        <v>181741409.15816385</v>
      </c>
      <c r="F9" s="24">
        <v>13481.150142260261</v>
      </c>
      <c r="G9" s="24">
        <v>237319928.00525391</v>
      </c>
      <c r="H9" s="25">
        <v>0.76580761963715227</v>
      </c>
      <c r="I9" s="1"/>
      <c r="J9" s="1"/>
      <c r="K9" s="1"/>
      <c r="L9" s="1"/>
      <c r="M9" s="1"/>
    </row>
    <row r="10" spans="1:13" ht="22" customHeight="1">
      <c r="A10" s="23">
        <v>5000</v>
      </c>
      <c r="B10" s="23">
        <v>50</v>
      </c>
      <c r="C10" s="24">
        <v>302828.79989521578</v>
      </c>
      <c r="D10" s="24">
        <v>739.40786716070431</v>
      </c>
      <c r="E10" s="24">
        <v>36594882.167060897</v>
      </c>
      <c r="F10" s="24">
        <v>6049.3703942692164</v>
      </c>
      <c r="G10" s="24">
        <v>47463985.601050779</v>
      </c>
      <c r="H10" s="25">
        <v>0.77100314488235355</v>
      </c>
      <c r="I10" s="1"/>
      <c r="J10" s="1"/>
      <c r="K10" s="1"/>
      <c r="L10" s="1"/>
      <c r="M10" s="1"/>
    </row>
    <row r="11" spans="1:13" ht="22" customHeight="1">
      <c r="A11" s="23">
        <v>10000</v>
      </c>
      <c r="B11" s="23">
        <v>100</v>
      </c>
      <c r="C11" s="24">
        <v>304568.85559961008</v>
      </c>
      <c r="D11" s="24">
        <v>-1000.6478372335259</v>
      </c>
      <c r="E11" s="24">
        <v>20624838.501353096</v>
      </c>
      <c r="F11" s="24">
        <v>4541.4577506955957</v>
      </c>
      <c r="G11" s="24">
        <v>23731992.80052539</v>
      </c>
      <c r="H11" s="25">
        <v>0.86907318212638651</v>
      </c>
      <c r="I11" s="1"/>
      <c r="J11" s="1"/>
      <c r="K11" s="1"/>
      <c r="L11" s="1"/>
      <c r="M11" s="1"/>
    </row>
    <row r="12" spans="1:13" ht="22" customHeight="1">
      <c r="A12" s="23">
        <v>50000</v>
      </c>
      <c r="B12" s="23">
        <v>500</v>
      </c>
      <c r="C12" s="24">
        <v>304465.85954132397</v>
      </c>
      <c r="D12" s="24">
        <v>-897.65177894739611</v>
      </c>
      <c r="E12" s="24">
        <v>6187736.2216868084</v>
      </c>
      <c r="F12" s="24">
        <v>2487.5160746589777</v>
      </c>
      <c r="G12" s="24">
        <v>4746398.5601050779</v>
      </c>
      <c r="H12" s="25">
        <v>1.3036697494594347</v>
      </c>
      <c r="I12" s="1"/>
      <c r="J12" s="1"/>
      <c r="K12" s="1"/>
      <c r="L12" s="1"/>
      <c r="M12" s="1"/>
    </row>
    <row r="13" spans="1:13" ht="22" customHeight="1">
      <c r="A13" s="23">
        <v>100000</v>
      </c>
      <c r="B13" s="23">
        <v>1000</v>
      </c>
      <c r="C13" s="24">
        <v>303688.67827084626</v>
      </c>
      <c r="D13" s="24">
        <v>-120.47050846968486</v>
      </c>
      <c r="E13" s="24">
        <v>1899517.7170033313</v>
      </c>
      <c r="F13" s="24">
        <v>1378.2299216761082</v>
      </c>
      <c r="G13" s="24">
        <v>2373199.280052539</v>
      </c>
      <c r="H13" s="25">
        <v>0.80040379793191196</v>
      </c>
      <c r="I13" s="1"/>
      <c r="J13" s="1"/>
      <c r="K13" s="1"/>
      <c r="L13" s="1"/>
      <c r="M13" s="1"/>
    </row>
    <row r="14" spans="1:13" ht="22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22" hidden="1" customHeight="1">
      <c r="A15" s="1" t="s">
        <v>9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22" hidden="1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22" hidden="1" customHeight="1">
      <c r="A17" s="1" t="s">
        <v>10</v>
      </c>
      <c r="B17" s="4">
        <v>-0.9390466219299004</v>
      </c>
      <c r="C17" s="1"/>
      <c r="D17" s="1" t="s">
        <v>11</v>
      </c>
      <c r="E17" s="1"/>
      <c r="F17" s="1"/>
      <c r="G17" s="1"/>
      <c r="H17" s="1"/>
      <c r="I17" s="1"/>
      <c r="J17" s="1"/>
      <c r="K17" s="1"/>
      <c r="L17" s="1"/>
      <c r="M17" s="1"/>
    </row>
    <row r="18" spans="1:13" ht="22" hidden="1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22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22" customHeight="1">
      <c r="A20" s="13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22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2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22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ht="22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2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22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2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2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2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2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2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t="22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t="22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ht="22" hidden="1" customHeight="1">
      <c r="A35" s="5" t="s">
        <v>12</v>
      </c>
      <c r="B35" s="5"/>
      <c r="C35" s="5"/>
      <c r="D35" s="5"/>
      <c r="E35" s="5"/>
      <c r="F35" s="5"/>
      <c r="G35" s="5"/>
      <c r="H35" s="5"/>
      <c r="I35" s="1"/>
      <c r="J35" s="1"/>
      <c r="K35" s="1"/>
      <c r="L35" s="1"/>
      <c r="M35" s="1"/>
    </row>
    <row r="36" spans="1:13" ht="22" hidden="1" customHeight="1">
      <c r="A36" s="1" t="s">
        <v>13</v>
      </c>
      <c r="B36" s="1" t="s">
        <v>14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ht="22" hidden="1" customHeight="1">
      <c r="A37" s="1" t="s">
        <v>15</v>
      </c>
      <c r="B37" s="1">
        <v>20261019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ht="22" hidden="1" customHeight="1">
      <c r="A38" s="1" t="s">
        <v>16</v>
      </c>
      <c r="B38" s="6">
        <v>46314.537210648145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ht="22" hidden="1" customHeight="1">
      <c r="A39" s="1" t="s">
        <v>17</v>
      </c>
      <c r="B39" s="15">
        <v>11.7421875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ht="22" hidden="1" customHeight="1">
      <c r="A40" s="1" t="s">
        <v>18</v>
      </c>
      <c r="B40" s="15">
        <v>-303568.20776237652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ht="22" hidden="1" customHeight="1">
      <c r="A41" s="1" t="s">
        <v>19</v>
      </c>
      <c r="B41" s="1" t="str">
        <f>IF(AND(Inputs!B6=Inputs!J6,Inputs!C6=Inputs!K6,Inputs!D6=Inputs!L6,Inputs!B7=Inputs!J7,Inputs!C7=Inputs!K7,Inputs!D7=Inputs!L7,Inputs!B8=Inputs!J8,Inputs!C8=Inputs!K8,Inputs!D8=Inputs!L8,Inputs!B11=Inputs!J11,Inputs!B12=Inputs!J12,Inputs!B13=Inputs!J13,Inputs!B14=Inputs!J14,Inputs!B19=Inputs!J19,Inputs!C19=Inputs!K19,Inputs!D19=Inputs!L19,Inputs!B20=Inputs!J20,Inputs!C20=Inputs!K20,Inputs!D20=Inputs!L20,Inputs!B21=Inputs!J21,Inputs!C21=Inputs!K21,Inputs!D21=Inputs!L21),"Current","STALE - rerun RunProject2")</f>
        <v>Current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ht="22" hidden="1" customHeight="1">
      <c r="A42" s="1" t="s">
        <v>20</v>
      </c>
      <c r="B42" s="1" t="s">
        <v>21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ht="22" hidden="1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ht="22" hidden="1" customHeight="1">
      <c r="A44" s="1" t="s">
        <v>22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t="22" hidden="1" customHeight="1">
      <c r="A45" s="1" t="s">
        <v>23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t="22" hidden="1" customHeight="1">
      <c r="A46" s="1" t="s">
        <v>24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ht="22" hidden="1" customHeight="1">
      <c r="A47" s="1" t="s">
        <v>25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t="22" hidden="1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t="22" hidden="1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ht="22" customHeight="1">
      <c r="A50" s="26" t="s">
        <v>104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2" spans="1:13" ht="27" customHeight="1">
      <c r="A52" s="48" t="s">
        <v>105</v>
      </c>
      <c r="B52" s="49"/>
      <c r="C52" s="49"/>
      <c r="D52" s="49"/>
      <c r="E52" s="49"/>
      <c r="F52" s="49"/>
      <c r="G52" s="49"/>
      <c r="H52" s="50"/>
    </row>
    <row r="53" spans="1:13" ht="27" customHeight="1">
      <c r="A53" s="51"/>
      <c r="B53" s="52"/>
      <c r="C53" s="52"/>
      <c r="D53" s="52"/>
      <c r="E53" s="52"/>
      <c r="F53" s="52"/>
      <c r="G53" s="52"/>
      <c r="H53" s="53"/>
    </row>
    <row r="55" spans="1:13" ht="27" customHeight="1">
      <c r="A55" s="48" t="s">
        <v>106</v>
      </c>
      <c r="B55" s="49"/>
      <c r="C55" s="49"/>
      <c r="D55" s="49"/>
      <c r="E55" s="49"/>
      <c r="F55" s="49"/>
      <c r="G55" s="49"/>
      <c r="H55" s="50"/>
    </row>
    <row r="56" spans="1:13" ht="27" customHeight="1">
      <c r="A56" s="51"/>
      <c r="B56" s="52"/>
      <c r="C56" s="52"/>
      <c r="D56" s="52"/>
      <c r="E56" s="52"/>
      <c r="F56" s="52"/>
      <c r="G56" s="52"/>
      <c r="H56" s="53"/>
    </row>
    <row r="58" spans="1:13" ht="24" hidden="1" customHeight="1">
      <c r="A58" s="17"/>
      <c r="B58" s="17"/>
      <c r="C58" s="17"/>
      <c r="D58" s="17"/>
      <c r="E58" s="17"/>
      <c r="F58" s="17"/>
      <c r="G58" s="17"/>
      <c r="H58" s="17"/>
    </row>
    <row r="59" spans="1:13" ht="24" hidden="1" customHeight="1">
      <c r="A59" s="17"/>
      <c r="B59" s="17"/>
      <c r="C59" s="17"/>
      <c r="D59" s="17"/>
      <c r="E59" s="17"/>
      <c r="F59" s="17"/>
      <c r="G59" s="17"/>
      <c r="H59" s="17"/>
    </row>
    <row r="61" spans="1:13" ht="24" hidden="1" customHeight="1">
      <c r="A61" s="17"/>
      <c r="B61" s="17"/>
      <c r="C61" s="17"/>
      <c r="D61" s="17"/>
      <c r="E61" s="17"/>
      <c r="F61" s="17"/>
      <c r="G61" s="17"/>
      <c r="H61" s="17"/>
    </row>
    <row r="62" spans="1:13" ht="24" hidden="1" customHeight="1">
      <c r="A62" s="17"/>
      <c r="B62" s="17"/>
      <c r="C62" s="17"/>
      <c r="D62" s="17"/>
      <c r="E62" s="17"/>
      <c r="F62" s="17"/>
      <c r="G62" s="17"/>
      <c r="H62" s="17"/>
    </row>
    <row r="64" spans="1:13" ht="24" hidden="1" customHeight="1">
      <c r="A64" s="17"/>
      <c r="B64" s="17"/>
      <c r="C64" s="17"/>
      <c r="D64" s="17"/>
      <c r="E64" s="17"/>
      <c r="F64" s="17"/>
      <c r="G64" s="17"/>
      <c r="H64" s="17"/>
    </row>
    <row r="65" spans="1:8" ht="24" hidden="1" customHeight="1">
      <c r="A65" s="17"/>
      <c r="B65" s="17"/>
      <c r="C65" s="17"/>
      <c r="D65" s="17"/>
      <c r="E65" s="17"/>
      <c r="F65" s="17"/>
      <c r="G65" s="17"/>
      <c r="H65" s="17"/>
    </row>
  </sheetData>
  <mergeCells count="2">
    <mergeCell ref="A52:H53"/>
    <mergeCell ref="A55:H5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105"/>
  <sheetViews>
    <sheetView showGridLines="0" topLeftCell="I1" workbookViewId="0">
      <pane ySplit="5" topLeftCell="A6" activePane="bottomLeft" state="frozen"/>
      <selection pane="bottomLeft" activeCell="I1" sqref="I1"/>
    </sheetView>
  </sheetViews>
  <sheetFormatPr baseColWidth="10" defaultColWidth="8.83203125" defaultRowHeight="14"/>
  <cols>
    <col min="1" max="8" width="18.83203125" hidden="1" customWidth="1"/>
    <col min="9" max="10" width="3" customWidth="1"/>
    <col min="11" max="11" width="8" customWidth="1"/>
    <col min="12" max="16" width="19" customWidth="1"/>
  </cols>
  <sheetData>
    <row r="1" spans="1:16" ht="22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6" ht="22" customHeight="1">
      <c r="A2" s="2" t="s">
        <v>55</v>
      </c>
      <c r="B2" s="9"/>
      <c r="C2" s="9"/>
      <c r="D2" s="9"/>
      <c r="E2" s="9"/>
      <c r="F2" s="9"/>
      <c r="G2" s="9"/>
      <c r="H2" s="9"/>
      <c r="I2" s="1"/>
      <c r="J2" s="1"/>
      <c r="K2" s="18" t="s">
        <v>107</v>
      </c>
      <c r="L2" s="1"/>
      <c r="M2" s="1"/>
      <c r="N2" s="27"/>
      <c r="O2" s="27"/>
      <c r="P2" s="27"/>
    </row>
    <row r="3" spans="1:16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27"/>
      <c r="O3" s="27"/>
      <c r="P3" s="27"/>
    </row>
    <row r="4" spans="1:16" ht="22" customHeight="1">
      <c r="A4" s="1" t="s">
        <v>56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27"/>
      <c r="O4" s="27"/>
      <c r="P4" s="27"/>
    </row>
    <row r="5" spans="1:16" ht="30" customHeight="1">
      <c r="A5" s="14" t="s">
        <v>4</v>
      </c>
      <c r="B5" s="14" t="s">
        <v>57</v>
      </c>
      <c r="C5" s="14" t="s">
        <v>58</v>
      </c>
      <c r="D5" s="14" t="s">
        <v>59</v>
      </c>
      <c r="E5" s="14" t="s">
        <v>60</v>
      </c>
      <c r="F5" s="14" t="s">
        <v>61</v>
      </c>
      <c r="G5" s="14" t="s">
        <v>62</v>
      </c>
      <c r="H5" s="14" t="s">
        <v>63</v>
      </c>
      <c r="I5" s="1"/>
      <c r="J5" s="1"/>
      <c r="K5" s="28" t="s">
        <v>108</v>
      </c>
      <c r="L5" s="29">
        <v>1000</v>
      </c>
      <c r="M5" s="29">
        <v>5000</v>
      </c>
      <c r="N5" s="30">
        <v>10000</v>
      </c>
      <c r="O5" s="30">
        <v>50000</v>
      </c>
      <c r="P5" s="30">
        <v>100000</v>
      </c>
    </row>
    <row r="6" spans="1:16" ht="22" customHeight="1">
      <c r="A6" s="10">
        <v>1000</v>
      </c>
      <c r="B6" s="10">
        <v>1</v>
      </c>
      <c r="C6" s="10">
        <v>20261019</v>
      </c>
      <c r="D6" s="15">
        <v>-310573.45535734383</v>
      </c>
      <c r="E6" s="15">
        <v>310573.45535734383</v>
      </c>
      <c r="F6" s="15">
        <v>-7005.2475949673099</v>
      </c>
      <c r="G6" s="15">
        <v>49073493.866795279</v>
      </c>
      <c r="H6" s="10">
        <v>82776837</v>
      </c>
      <c r="I6" s="1"/>
      <c r="J6" s="1"/>
      <c r="K6" s="31">
        <v>1</v>
      </c>
      <c r="L6" s="32">
        <f>$D$6</f>
        <v>-310573.45535734383</v>
      </c>
      <c r="M6" s="32">
        <f>$D$26</f>
        <v>-304932.5909418824</v>
      </c>
      <c r="N6" s="33">
        <f>$D$46</f>
        <v>-311002.39539942396</v>
      </c>
      <c r="O6" s="33">
        <f>$D$66</f>
        <v>-306723.25700611266</v>
      </c>
      <c r="P6" s="33">
        <f>$D$86</f>
        <v>-303982.69903841632</v>
      </c>
    </row>
    <row r="7" spans="1:16" ht="22" customHeight="1">
      <c r="A7" s="10">
        <v>1000</v>
      </c>
      <c r="B7" s="10">
        <v>2</v>
      </c>
      <c r="C7" s="10">
        <v>82776837</v>
      </c>
      <c r="D7" s="15">
        <v>-307207.46781536203</v>
      </c>
      <c r="E7" s="15">
        <v>307207.46781536203</v>
      </c>
      <c r="F7" s="15">
        <v>-3639.2600529855117</v>
      </c>
      <c r="G7" s="15">
        <v>13244213.733256109</v>
      </c>
      <c r="H7" s="10">
        <v>1345390232</v>
      </c>
      <c r="I7" s="1"/>
      <c r="J7" s="1"/>
      <c r="K7" s="31">
        <v>2</v>
      </c>
      <c r="L7" s="32">
        <f>$D$7</f>
        <v>-307207.46781536203</v>
      </c>
      <c r="M7" s="32">
        <f>$D$27</f>
        <v>-293316.75042797689</v>
      </c>
      <c r="N7" s="33">
        <f>$D$47</f>
        <v>-302906.37568415806</v>
      </c>
      <c r="O7" s="33">
        <f>$D$67</f>
        <v>-303193.54701752629</v>
      </c>
      <c r="P7" s="33">
        <f>$D$87</f>
        <v>-304458.26501098688</v>
      </c>
    </row>
    <row r="8" spans="1:16" ht="22" customHeight="1">
      <c r="A8" s="10">
        <v>1000</v>
      </c>
      <c r="B8" s="10">
        <v>3</v>
      </c>
      <c r="C8" s="10">
        <v>1345390232</v>
      </c>
      <c r="D8" s="15">
        <v>-308243.69722213031</v>
      </c>
      <c r="E8" s="15">
        <v>308243.69722213031</v>
      </c>
      <c r="F8" s="15">
        <v>-4675.4894597537932</v>
      </c>
      <c r="G8" s="15">
        <v>21860201.688268818</v>
      </c>
      <c r="H8" s="10">
        <v>2043486064</v>
      </c>
      <c r="I8" s="1"/>
      <c r="J8" s="1"/>
      <c r="K8" s="31">
        <v>3</v>
      </c>
      <c r="L8" s="32">
        <f>$D$8</f>
        <v>-308243.69722213031</v>
      </c>
      <c r="M8" s="32">
        <f>$D$28</f>
        <v>-296389.27513405343</v>
      </c>
      <c r="N8" s="33">
        <f>$D$48</f>
        <v>-297958.73482379754</v>
      </c>
      <c r="O8" s="33">
        <f>$D$68</f>
        <v>-307241.21887787856</v>
      </c>
      <c r="P8" s="33">
        <f>$D$88</f>
        <v>-304847.05477531574</v>
      </c>
    </row>
    <row r="9" spans="1:16" ht="22" customHeight="1">
      <c r="A9" s="10">
        <v>1000</v>
      </c>
      <c r="B9" s="10">
        <v>4</v>
      </c>
      <c r="C9" s="10">
        <v>2043486064</v>
      </c>
      <c r="D9" s="15">
        <v>-293262.00677630235</v>
      </c>
      <c r="E9" s="15">
        <v>293262.00677630235</v>
      </c>
      <c r="F9" s="15">
        <v>10306.200986074167</v>
      </c>
      <c r="G9" s="15">
        <v>106217778.76535614</v>
      </c>
      <c r="H9" s="10">
        <v>1593183082</v>
      </c>
      <c r="I9" s="1"/>
      <c r="J9" s="1"/>
      <c r="K9" s="31">
        <v>4</v>
      </c>
      <c r="L9" s="32">
        <f>$D$9</f>
        <v>-293262.00677630235</v>
      </c>
      <c r="M9" s="32">
        <f>$D$29</f>
        <v>-295053.16896571382</v>
      </c>
      <c r="N9" s="33">
        <f>$D$49</f>
        <v>-308156.8669448446</v>
      </c>
      <c r="O9" s="33">
        <f>$D$69</f>
        <v>-303265.69551585126</v>
      </c>
      <c r="P9" s="33">
        <f>$D$89</f>
        <v>-303775.9203506108</v>
      </c>
    </row>
    <row r="10" spans="1:16" ht="22" customHeight="1">
      <c r="A10" s="10">
        <v>1000</v>
      </c>
      <c r="B10" s="10">
        <v>5</v>
      </c>
      <c r="C10" s="10">
        <v>1593183082</v>
      </c>
      <c r="D10" s="15">
        <v>-322516.94166845683</v>
      </c>
      <c r="E10" s="15">
        <v>322516.94166845683</v>
      </c>
      <c r="F10" s="15">
        <v>-18948.733906080306</v>
      </c>
      <c r="G10" s="15">
        <v>359054516.64343739</v>
      </c>
      <c r="H10" s="10">
        <v>632966516</v>
      </c>
      <c r="I10" s="1"/>
      <c r="J10" s="1"/>
      <c r="K10" s="31">
        <v>5</v>
      </c>
      <c r="L10" s="32">
        <f>$D$10</f>
        <v>-322516.94166845683</v>
      </c>
      <c r="M10" s="32">
        <f>$D$30</f>
        <v>-300156.72306499461</v>
      </c>
      <c r="N10" s="33">
        <f>$D$50</f>
        <v>-308171.18630570028</v>
      </c>
      <c r="O10" s="33">
        <f>$D$70</f>
        <v>-303920.16234016075</v>
      </c>
      <c r="P10" s="33">
        <f>$D$90</f>
        <v>-304425.85930039763</v>
      </c>
    </row>
    <row r="11" spans="1:16" ht="22" customHeight="1">
      <c r="A11" s="10">
        <v>1000</v>
      </c>
      <c r="B11" s="10">
        <v>6</v>
      </c>
      <c r="C11" s="10">
        <v>632966516</v>
      </c>
      <c r="D11" s="15">
        <v>-306799.04221534019</v>
      </c>
      <c r="E11" s="15">
        <v>306799.04221534019</v>
      </c>
      <c r="F11" s="15">
        <v>-3230.834452963667</v>
      </c>
      <c r="G11" s="15">
        <v>10438291.262457037</v>
      </c>
      <c r="H11" s="10">
        <v>498036231</v>
      </c>
      <c r="I11" s="1"/>
      <c r="J11" s="1"/>
      <c r="K11" s="31">
        <v>6</v>
      </c>
      <c r="L11" s="32">
        <f>$D$11</f>
        <v>-306799.04221534019</v>
      </c>
      <c r="M11" s="32">
        <f>$D$31</f>
        <v>-301242.79962717625</v>
      </c>
      <c r="N11" s="33">
        <f>$D$51</f>
        <v>-301655.25069265568</v>
      </c>
      <c r="O11" s="33">
        <f>$D$71</f>
        <v>-309275.96520773345</v>
      </c>
      <c r="P11" s="33">
        <f>$D$91</f>
        <v>-301822.262098381</v>
      </c>
    </row>
    <row r="12" spans="1:16" ht="22" customHeight="1">
      <c r="A12" s="10">
        <v>1000</v>
      </c>
      <c r="B12" s="10">
        <v>7</v>
      </c>
      <c r="C12" s="10">
        <v>498036231</v>
      </c>
      <c r="D12" s="15">
        <v>-297898.09647306486</v>
      </c>
      <c r="E12" s="15">
        <v>297898.09647306486</v>
      </c>
      <c r="F12" s="15">
        <v>5670.111289311666</v>
      </c>
      <c r="G12" s="15">
        <v>32150162.033179604</v>
      </c>
      <c r="H12" s="10">
        <v>1876404380</v>
      </c>
      <c r="I12" s="1"/>
      <c r="J12" s="1"/>
      <c r="K12" s="31">
        <v>7</v>
      </c>
      <c r="L12" s="32">
        <f>$D$12</f>
        <v>-297898.09647306486</v>
      </c>
      <c r="M12" s="32">
        <f>$D$32</f>
        <v>-304277.30309883994</v>
      </c>
      <c r="N12" s="33">
        <f>$D$52</f>
        <v>-305418.00490354671</v>
      </c>
      <c r="O12" s="33">
        <f>$D$72</f>
        <v>-302777.43807540782</v>
      </c>
      <c r="P12" s="33">
        <f>$D$92</f>
        <v>-304398.41730596765</v>
      </c>
    </row>
    <row r="13" spans="1:16" ht="22" customHeight="1">
      <c r="A13" s="10">
        <v>1000</v>
      </c>
      <c r="B13" s="10">
        <v>8</v>
      </c>
      <c r="C13" s="10">
        <v>1876404380</v>
      </c>
      <c r="D13" s="15">
        <v>-292666.29719436902</v>
      </c>
      <c r="E13" s="15">
        <v>292666.29719436902</v>
      </c>
      <c r="F13" s="15">
        <v>10901.910568007501</v>
      </c>
      <c r="G13" s="15">
        <v>118851654.03283364</v>
      </c>
      <c r="H13" s="10">
        <v>1969028370</v>
      </c>
      <c r="I13" s="1"/>
      <c r="J13" s="1"/>
      <c r="K13" s="31">
        <v>8</v>
      </c>
      <c r="L13" s="32">
        <f>$D$13</f>
        <v>-292666.29719436902</v>
      </c>
      <c r="M13" s="32">
        <f>$D$33</f>
        <v>-312960.53808905988</v>
      </c>
      <c r="N13" s="33">
        <f>$D$53</f>
        <v>-306542.87752736179</v>
      </c>
      <c r="O13" s="33">
        <f>$D$73</f>
        <v>-306854.27803163556</v>
      </c>
      <c r="P13" s="33">
        <f>$D$93</f>
        <v>-302920.77479444793</v>
      </c>
    </row>
    <row r="14" spans="1:16" ht="22" customHeight="1">
      <c r="A14" s="10">
        <v>1000</v>
      </c>
      <c r="B14" s="10">
        <v>9</v>
      </c>
      <c r="C14" s="10">
        <v>1969028370</v>
      </c>
      <c r="D14" s="15">
        <v>-307873.83440222795</v>
      </c>
      <c r="E14" s="15">
        <v>307873.83440222795</v>
      </c>
      <c r="F14" s="15">
        <v>-4305.6266398514272</v>
      </c>
      <c r="G14" s="15">
        <v>18538420.761798292</v>
      </c>
      <c r="H14" s="10">
        <v>107318809</v>
      </c>
      <c r="I14" s="1"/>
      <c r="J14" s="1"/>
      <c r="K14" s="31">
        <v>9</v>
      </c>
      <c r="L14" s="32">
        <f>$D$14</f>
        <v>-307873.83440222795</v>
      </c>
      <c r="M14" s="32">
        <f>$D$34</f>
        <v>-295484.14103990124</v>
      </c>
      <c r="N14" s="33">
        <f>$D$54</f>
        <v>-308933.11305033829</v>
      </c>
      <c r="O14" s="33">
        <f>$D$74</f>
        <v>-305533.02189972578</v>
      </c>
      <c r="P14" s="33">
        <f>$D$94</f>
        <v>-302897.31577248999</v>
      </c>
    </row>
    <row r="15" spans="1:16" ht="22" customHeight="1">
      <c r="A15" s="10">
        <v>1000</v>
      </c>
      <c r="B15" s="10">
        <v>10</v>
      </c>
      <c r="C15" s="10">
        <v>107318809</v>
      </c>
      <c r="D15" s="15">
        <v>-275716.38981185562</v>
      </c>
      <c r="E15" s="15">
        <v>275716.38981185562</v>
      </c>
      <c r="F15" s="15">
        <v>27851.817950520897</v>
      </c>
      <c r="G15" s="15">
        <v>775723763.14895809</v>
      </c>
      <c r="H15" s="10">
        <v>178150081</v>
      </c>
      <c r="I15" s="1"/>
      <c r="J15" s="1"/>
      <c r="K15" s="31">
        <v>10</v>
      </c>
      <c r="L15" s="32">
        <f>$D$15</f>
        <v>-275716.38981185562</v>
      </c>
      <c r="M15" s="32">
        <f>$D$35</f>
        <v>-306967.76579711412</v>
      </c>
      <c r="N15" s="33">
        <f>$D$55</f>
        <v>-301121.21302612551</v>
      </c>
      <c r="O15" s="33">
        <f>$D$75</f>
        <v>-303945.05623511813</v>
      </c>
      <c r="P15" s="33">
        <f>$D$95</f>
        <v>-307208.74842270662</v>
      </c>
    </row>
    <row r="16" spans="1:16" ht="22" customHeight="1">
      <c r="A16" s="10">
        <v>1000</v>
      </c>
      <c r="B16" s="10">
        <v>11</v>
      </c>
      <c r="C16" s="10">
        <v>178150081</v>
      </c>
      <c r="D16" s="15">
        <v>-328571.77734642883</v>
      </c>
      <c r="E16" s="15">
        <v>328571.77734642883</v>
      </c>
      <c r="F16" s="15">
        <v>-25003.569584052311</v>
      </c>
      <c r="G16" s="15">
        <v>625178491.94454587</v>
      </c>
      <c r="H16" s="10">
        <v>575945587</v>
      </c>
      <c r="I16" s="1"/>
      <c r="J16" s="1"/>
      <c r="K16" s="31">
        <v>11</v>
      </c>
      <c r="L16" s="32">
        <f>$D$16</f>
        <v>-328571.77734642883</v>
      </c>
      <c r="M16" s="32">
        <f>$D$36</f>
        <v>-299345.98613622464</v>
      </c>
      <c r="N16" s="33">
        <f>$D$56</f>
        <v>-304541.65962903085</v>
      </c>
      <c r="O16" s="33">
        <f>$D$76</f>
        <v>-303172.8235576392</v>
      </c>
      <c r="P16" s="33">
        <f>$D$96</f>
        <v>-303831.74762968987</v>
      </c>
    </row>
    <row r="17" spans="1:16" ht="22" customHeight="1">
      <c r="A17" s="10">
        <v>1000</v>
      </c>
      <c r="B17" s="10">
        <v>12</v>
      </c>
      <c r="C17" s="10">
        <v>575945587</v>
      </c>
      <c r="D17" s="15">
        <v>-282132.55071773718</v>
      </c>
      <c r="E17" s="15">
        <v>282132.55071773718</v>
      </c>
      <c r="F17" s="15">
        <v>21435.657044639345</v>
      </c>
      <c r="G17" s="15">
        <v>459487392.93539637</v>
      </c>
      <c r="H17" s="10">
        <v>1744383554</v>
      </c>
      <c r="I17" s="1"/>
      <c r="J17" s="1"/>
      <c r="K17" s="31">
        <v>12</v>
      </c>
      <c r="L17" s="32">
        <f>$D$17</f>
        <v>-282132.55071773718</v>
      </c>
      <c r="M17" s="32">
        <f>$D$37</f>
        <v>-303328.97539566038</v>
      </c>
      <c r="N17" s="33">
        <f>$D$57</f>
        <v>-304910.05487599736</v>
      </c>
      <c r="O17" s="33">
        <f>$D$77</f>
        <v>-301386.86847894604</v>
      </c>
      <c r="P17" s="33">
        <f>$D$97</f>
        <v>-302047.39309869485</v>
      </c>
    </row>
    <row r="18" spans="1:16" ht="22" customHeight="1">
      <c r="A18" s="10">
        <v>1000</v>
      </c>
      <c r="B18" s="10">
        <v>13</v>
      </c>
      <c r="C18" s="10">
        <v>1744383554</v>
      </c>
      <c r="D18" s="15">
        <v>-314590.18018812704</v>
      </c>
      <c r="E18" s="15">
        <v>314590.18018812704</v>
      </c>
      <c r="F18" s="15">
        <v>-11021.972425750515</v>
      </c>
      <c r="G18" s="15">
        <v>121483876.15400469</v>
      </c>
      <c r="H18" s="10">
        <v>1676264163</v>
      </c>
      <c r="I18" s="1"/>
      <c r="J18" s="1"/>
      <c r="K18" s="31">
        <v>13</v>
      </c>
      <c r="L18" s="32">
        <f>$D$18</f>
        <v>-314590.18018812704</v>
      </c>
      <c r="M18" s="32">
        <f>$D$38</f>
        <v>-304833.27225079213</v>
      </c>
      <c r="N18" s="33">
        <f>$D$58</f>
        <v>-302203.8660144051</v>
      </c>
      <c r="O18" s="33">
        <f>$D$78</f>
        <v>-302063.65084782097</v>
      </c>
      <c r="P18" s="33">
        <f>$D$98</f>
        <v>-303574.65488765243</v>
      </c>
    </row>
    <row r="19" spans="1:16" ht="22" customHeight="1">
      <c r="A19" s="10">
        <v>1000</v>
      </c>
      <c r="B19" s="10">
        <v>14</v>
      </c>
      <c r="C19" s="10">
        <v>1676264163</v>
      </c>
      <c r="D19" s="15">
        <v>-304023.14007533679</v>
      </c>
      <c r="E19" s="15">
        <v>304023.14007533679</v>
      </c>
      <c r="F19" s="15">
        <v>-454.93231296027079</v>
      </c>
      <c r="G19" s="15">
        <v>206963.40937538177</v>
      </c>
      <c r="H19" s="10">
        <v>346154581</v>
      </c>
      <c r="I19" s="1"/>
      <c r="J19" s="1"/>
      <c r="K19" s="31">
        <v>14</v>
      </c>
      <c r="L19" s="32">
        <f>$D$19</f>
        <v>-304023.14007533679</v>
      </c>
      <c r="M19" s="32">
        <f>$D$39</f>
        <v>-310993.79806393746</v>
      </c>
      <c r="N19" s="33">
        <f>$D$59</f>
        <v>-303018.15799659485</v>
      </c>
      <c r="O19" s="33">
        <f>$D$79</f>
        <v>-301297.06646767462</v>
      </c>
      <c r="P19" s="33">
        <f>$D$99</f>
        <v>-303846.0272485179</v>
      </c>
    </row>
    <row r="20" spans="1:16" ht="22" customHeight="1">
      <c r="A20" s="10">
        <v>1000</v>
      </c>
      <c r="B20" s="10">
        <v>15</v>
      </c>
      <c r="C20" s="10">
        <v>346154581</v>
      </c>
      <c r="D20" s="15">
        <v>-302627.00630676124</v>
      </c>
      <c r="E20" s="15">
        <v>302627.00630676124</v>
      </c>
      <c r="F20" s="15">
        <v>941.20145561528625</v>
      </c>
      <c r="G20" s="15">
        <v>885860.18005233363</v>
      </c>
      <c r="H20" s="10">
        <v>1646587671</v>
      </c>
      <c r="I20" s="1"/>
      <c r="J20" s="1"/>
      <c r="K20" s="31">
        <v>15</v>
      </c>
      <c r="L20" s="32">
        <f>$D$20</f>
        <v>-302627.00630676124</v>
      </c>
      <c r="M20" s="32">
        <f>$D$40</f>
        <v>-299762.52056466136</v>
      </c>
      <c r="N20" s="33">
        <f>$D$60</f>
        <v>-314616.65098675445</v>
      </c>
      <c r="O20" s="33">
        <f>$D$80</f>
        <v>-302174.79709385027</v>
      </c>
      <c r="P20" s="33">
        <f>$D$100</f>
        <v>-302132.81836647424</v>
      </c>
    </row>
    <row r="21" spans="1:16" ht="22" customHeight="1">
      <c r="A21" s="10">
        <v>1000</v>
      </c>
      <c r="B21" s="10">
        <v>16</v>
      </c>
      <c r="C21" s="10">
        <v>1646587671</v>
      </c>
      <c r="D21" s="15">
        <v>-292389.48454384366</v>
      </c>
      <c r="E21" s="15">
        <v>292389.48454384366</v>
      </c>
      <c r="F21" s="15">
        <v>11178.723218532861</v>
      </c>
      <c r="G21" s="15">
        <v>124963852.7965657</v>
      </c>
      <c r="H21" s="10">
        <v>746208742</v>
      </c>
      <c r="I21" s="1"/>
      <c r="J21" s="1"/>
      <c r="K21" s="31">
        <v>16</v>
      </c>
      <c r="L21" s="32">
        <f>$D$21</f>
        <v>-292389.48454384366</v>
      </c>
      <c r="M21" s="32">
        <f>$D$41</f>
        <v>-305277.46234592237</v>
      </c>
      <c r="N21" s="33">
        <f>$D$61</f>
        <v>-300990.86542945507</v>
      </c>
      <c r="O21" s="33">
        <f>$D$81</f>
        <v>-308147.42726785148</v>
      </c>
      <c r="P21" s="33">
        <f>$D$101</f>
        <v>-304368.74986810295</v>
      </c>
    </row>
    <row r="22" spans="1:16" ht="22" customHeight="1">
      <c r="A22" s="10">
        <v>1000</v>
      </c>
      <c r="B22" s="10">
        <v>17</v>
      </c>
      <c r="C22" s="10">
        <v>746208742</v>
      </c>
      <c r="D22" s="15">
        <v>-319960.11379034136</v>
      </c>
      <c r="E22" s="15">
        <v>319960.11379034136</v>
      </c>
      <c r="F22" s="15">
        <v>-16391.90602796484</v>
      </c>
      <c r="G22" s="15">
        <v>268694583.22963005</v>
      </c>
      <c r="H22" s="10">
        <v>910187176</v>
      </c>
      <c r="I22" s="1"/>
      <c r="J22" s="1"/>
      <c r="K22" s="31">
        <v>17</v>
      </c>
      <c r="L22" s="32">
        <f>$D$22</f>
        <v>-319960.11379034136</v>
      </c>
      <c r="M22" s="32">
        <f>$D$42</f>
        <v>-293177.77056058764</v>
      </c>
      <c r="N22" s="33">
        <f>$D$62</f>
        <v>-310120.29413466761</v>
      </c>
      <c r="O22" s="33">
        <f>$D$82</f>
        <v>-306810.40058895183</v>
      </c>
      <c r="P22" s="33">
        <f>$D$102</f>
        <v>-303435.74305594777</v>
      </c>
    </row>
    <row r="23" spans="1:16" ht="22" customHeight="1">
      <c r="A23" s="10">
        <v>1000</v>
      </c>
      <c r="B23" s="10">
        <v>18</v>
      </c>
      <c r="C23" s="10">
        <v>910187176</v>
      </c>
      <c r="D23" s="15">
        <v>-305861.84857472987</v>
      </c>
      <c r="E23" s="15">
        <v>305861.84857472987</v>
      </c>
      <c r="F23" s="15">
        <v>-2293.6408123533474</v>
      </c>
      <c r="G23" s="15">
        <v>5260788.1760929236</v>
      </c>
      <c r="H23" s="10">
        <v>1271450435</v>
      </c>
      <c r="I23" s="1"/>
      <c r="J23" s="1"/>
      <c r="K23" s="31">
        <v>18</v>
      </c>
      <c r="L23" s="32">
        <f>$D$23</f>
        <v>-305861.84857472987</v>
      </c>
      <c r="M23" s="32">
        <f>$D$43</f>
        <v>-307889.86047488271</v>
      </c>
      <c r="N23" s="33">
        <f>$D$63</f>
        <v>-298016.21540292806</v>
      </c>
      <c r="O23" s="33">
        <f>$D$83</f>
        <v>-304282.27372126724</v>
      </c>
      <c r="P23" s="33">
        <f>$D$103</f>
        <v>-301699.94399020792</v>
      </c>
    </row>
    <row r="24" spans="1:16" ht="22" customHeight="1">
      <c r="A24" s="10">
        <v>1000</v>
      </c>
      <c r="B24" s="10">
        <v>19</v>
      </c>
      <c r="C24" s="10">
        <v>1271450435</v>
      </c>
      <c r="D24" s="15">
        <v>-317378.00545662025</v>
      </c>
      <c r="E24" s="15">
        <v>317378.00545662025</v>
      </c>
      <c r="F24" s="15">
        <v>-13809.797694243724</v>
      </c>
      <c r="G24" s="15">
        <v>190710512.35593927</v>
      </c>
      <c r="H24" s="10">
        <v>659542942</v>
      </c>
      <c r="I24" s="1"/>
      <c r="J24" s="1"/>
      <c r="K24" s="31">
        <v>19</v>
      </c>
      <c r="L24" s="32">
        <f>$D$24</f>
        <v>-317378.00545662025</v>
      </c>
      <c r="M24" s="32">
        <f>$D$44</f>
        <v>-311254.02470725524</v>
      </c>
      <c r="N24" s="33">
        <f>$D$64</f>
        <v>-298710.15063388541</v>
      </c>
      <c r="O24" s="33">
        <f>$D$84</f>
        <v>-301941.86453496554</v>
      </c>
      <c r="P24" s="33">
        <f>$D$104</f>
        <v>-302097.70891355438</v>
      </c>
    </row>
    <row r="25" spans="1:16" ht="22" customHeight="1">
      <c r="A25" s="10">
        <v>1000</v>
      </c>
      <c r="B25" s="10">
        <v>20</v>
      </c>
      <c r="C25" s="10">
        <v>659542942</v>
      </c>
      <c r="D25" s="15">
        <v>-285325.30870424066</v>
      </c>
      <c r="E25" s="15">
        <v>285325.30870424066</v>
      </c>
      <c r="F25" s="15">
        <v>18242.899058135867</v>
      </c>
      <c r="G25" s="15">
        <v>332803366.04533452</v>
      </c>
      <c r="H25" s="10">
        <v>435724825</v>
      </c>
      <c r="I25" s="1"/>
      <c r="J25" s="1"/>
      <c r="K25" s="31">
        <v>20</v>
      </c>
      <c r="L25" s="32">
        <f>$D$25</f>
        <v>-285325.30870424066</v>
      </c>
      <c r="M25" s="32">
        <f>$D$45</f>
        <v>-309931.27121767984</v>
      </c>
      <c r="N25" s="33">
        <f>$D$65</f>
        <v>-302383.17853052978</v>
      </c>
      <c r="O25" s="33">
        <f>$D$85</f>
        <v>-305310.3780603609</v>
      </c>
      <c r="P25" s="33">
        <f>$D$105</f>
        <v>-306001.46148836124</v>
      </c>
    </row>
    <row r="26" spans="1:16" ht="22" customHeight="1">
      <c r="A26" s="10">
        <v>5000</v>
      </c>
      <c r="B26" s="10">
        <v>1</v>
      </c>
      <c r="C26" s="10">
        <v>435724825</v>
      </c>
      <c r="D26" s="15">
        <v>-304932.5909418824</v>
      </c>
      <c r="E26" s="15">
        <v>304932.5909418824</v>
      </c>
      <c r="F26" s="15">
        <v>-1364.3831795058795</v>
      </c>
      <c r="G26" s="15">
        <v>1861541.4605185732</v>
      </c>
      <c r="H26" s="10">
        <v>704237135</v>
      </c>
      <c r="I26" s="1"/>
      <c r="J26" s="1"/>
      <c r="K26" s="1"/>
      <c r="L26" s="1"/>
      <c r="M26" s="1"/>
    </row>
    <row r="27" spans="1:16" ht="22" customHeight="1">
      <c r="A27" s="10">
        <v>5000</v>
      </c>
      <c r="B27" s="10">
        <v>2</v>
      </c>
      <c r="C27" s="10">
        <v>704237135</v>
      </c>
      <c r="D27" s="15">
        <v>-293316.75042797689</v>
      </c>
      <c r="E27" s="15">
        <v>293316.75042797689</v>
      </c>
      <c r="F27" s="15">
        <v>10251.457334399631</v>
      </c>
      <c r="G27" s="15">
        <v>105092377.47901598</v>
      </c>
      <c r="H27" s="10">
        <v>1448566405</v>
      </c>
      <c r="I27" s="1"/>
      <c r="J27" s="1"/>
      <c r="K27" s="1"/>
      <c r="L27" s="1"/>
      <c r="M27" s="1"/>
    </row>
    <row r="28" spans="1:16" ht="22" customHeight="1">
      <c r="A28" s="10">
        <v>5000</v>
      </c>
      <c r="B28" s="10">
        <v>3</v>
      </c>
      <c r="C28" s="10">
        <v>1448566405</v>
      </c>
      <c r="D28" s="15">
        <v>-296389.27513405343</v>
      </c>
      <c r="E28" s="15">
        <v>296389.27513405343</v>
      </c>
      <c r="F28" s="15">
        <v>7178.9326283230912</v>
      </c>
      <c r="G28" s="15">
        <v>51537073.682001889</v>
      </c>
      <c r="H28" s="10">
        <v>452549644</v>
      </c>
      <c r="I28" s="1"/>
      <c r="J28" s="1"/>
      <c r="K28" s="1"/>
      <c r="L28" s="1"/>
      <c r="M28" s="1"/>
    </row>
    <row r="29" spans="1:16" ht="22" customHeight="1">
      <c r="A29" s="10">
        <v>5000</v>
      </c>
      <c r="B29" s="10">
        <v>4</v>
      </c>
      <c r="C29" s="10">
        <v>452549644</v>
      </c>
      <c r="D29" s="15">
        <v>-295053.16896571382</v>
      </c>
      <c r="E29" s="15">
        <v>295053.16896571382</v>
      </c>
      <c r="F29" s="15">
        <v>8515.0387966627022</v>
      </c>
      <c r="G29" s="15">
        <v>72505885.708671004</v>
      </c>
      <c r="H29" s="10">
        <v>37134944</v>
      </c>
      <c r="I29" s="1"/>
      <c r="J29" s="1"/>
      <c r="K29" s="1"/>
      <c r="L29" s="1"/>
      <c r="M29" s="1"/>
    </row>
    <row r="30" spans="1:16" ht="22" customHeight="1">
      <c r="A30" s="10">
        <v>5000</v>
      </c>
      <c r="B30" s="10">
        <v>5</v>
      </c>
      <c r="C30" s="10">
        <v>37134944</v>
      </c>
      <c r="D30" s="15">
        <v>-300156.72306499461</v>
      </c>
      <c r="E30" s="15">
        <v>300156.72306499461</v>
      </c>
      <c r="F30" s="15">
        <v>3411.4846973819076</v>
      </c>
      <c r="G30" s="15">
        <v>11638227.840470925</v>
      </c>
      <c r="H30" s="10">
        <v>1174248763</v>
      </c>
      <c r="I30" s="1"/>
      <c r="J30" s="1"/>
      <c r="K30" s="1"/>
      <c r="L30" s="1"/>
      <c r="M30" s="1"/>
    </row>
    <row r="31" spans="1:16" ht="22" customHeight="1">
      <c r="A31" s="10">
        <v>5000</v>
      </c>
      <c r="B31" s="10">
        <v>6</v>
      </c>
      <c r="C31" s="10">
        <v>1174248763</v>
      </c>
      <c r="D31" s="15">
        <v>-301242.79962717625</v>
      </c>
      <c r="E31" s="15">
        <v>301242.79962717625</v>
      </c>
      <c r="F31" s="15">
        <v>2325.4081352002686</v>
      </c>
      <c r="G31" s="15">
        <v>5407522.9952555904</v>
      </c>
      <c r="H31" s="10">
        <v>1851949504</v>
      </c>
      <c r="I31" s="1"/>
      <c r="J31" s="1"/>
      <c r="K31" s="1"/>
      <c r="L31" s="1"/>
      <c r="M31" s="1"/>
    </row>
    <row r="32" spans="1:16" ht="22" customHeight="1">
      <c r="A32" s="10">
        <v>5000</v>
      </c>
      <c r="B32" s="10">
        <v>7</v>
      </c>
      <c r="C32" s="10">
        <v>1851949504</v>
      </c>
      <c r="D32" s="15">
        <v>-304277.30309883994</v>
      </c>
      <c r="E32" s="15">
        <v>304277.30309883994</v>
      </c>
      <c r="F32" s="15">
        <v>-709.09533646341879</v>
      </c>
      <c r="G32" s="15">
        <v>502816.19619416911</v>
      </c>
      <c r="H32" s="10">
        <v>171348238</v>
      </c>
      <c r="I32" s="1"/>
      <c r="J32" s="1"/>
      <c r="K32" s="1"/>
      <c r="L32" s="1"/>
      <c r="M32" s="1"/>
    </row>
    <row r="33" spans="1:13" ht="22" customHeight="1">
      <c r="A33" s="10">
        <v>5000</v>
      </c>
      <c r="B33" s="10">
        <v>8</v>
      </c>
      <c r="C33" s="10">
        <v>171348238</v>
      </c>
      <c r="D33" s="15">
        <v>-312960.53808905988</v>
      </c>
      <c r="E33" s="15">
        <v>312960.53808905988</v>
      </c>
      <c r="F33" s="15">
        <v>-9392.3303266833536</v>
      </c>
      <c r="G33" s="15">
        <v>88215868.965535834</v>
      </c>
      <c r="H33" s="10">
        <v>985258652</v>
      </c>
      <c r="I33" s="1"/>
      <c r="J33" s="1"/>
      <c r="K33" s="1"/>
      <c r="L33" s="1"/>
      <c r="M33" s="1"/>
    </row>
    <row r="34" spans="1:13" ht="22" customHeight="1">
      <c r="A34" s="10">
        <v>5000</v>
      </c>
      <c r="B34" s="10">
        <v>9</v>
      </c>
      <c r="C34" s="10">
        <v>985258652</v>
      </c>
      <c r="D34" s="15">
        <v>-295484.14103990124</v>
      </c>
      <c r="E34" s="15">
        <v>295484.14103990124</v>
      </c>
      <c r="F34" s="15">
        <v>8084.0667224752833</v>
      </c>
      <c r="G34" s="15">
        <v>65352134.77343227</v>
      </c>
      <c r="H34" s="10">
        <v>348206279</v>
      </c>
      <c r="I34" s="1"/>
      <c r="J34" s="1"/>
      <c r="K34" s="1"/>
      <c r="L34" s="1"/>
      <c r="M34" s="1"/>
    </row>
    <row r="35" spans="1:13" ht="22" customHeight="1">
      <c r="A35" s="10">
        <v>5000</v>
      </c>
      <c r="B35" s="10">
        <v>10</v>
      </c>
      <c r="C35" s="10">
        <v>348206279</v>
      </c>
      <c r="D35" s="15">
        <v>-306967.76579711412</v>
      </c>
      <c r="E35" s="15">
        <v>306967.76579711412</v>
      </c>
      <c r="F35" s="15">
        <v>-3399.5580347375944</v>
      </c>
      <c r="G35" s="15">
        <v>11556994.831548935</v>
      </c>
      <c r="H35" s="10">
        <v>1788432932</v>
      </c>
      <c r="I35" s="1"/>
      <c r="J35" s="1"/>
      <c r="K35" s="1"/>
      <c r="L35" s="1"/>
      <c r="M35" s="1"/>
    </row>
    <row r="36" spans="1:13" ht="22" customHeight="1">
      <c r="A36" s="10">
        <v>5000</v>
      </c>
      <c r="B36" s="10">
        <v>11</v>
      </c>
      <c r="C36" s="10">
        <v>1788432932</v>
      </c>
      <c r="D36" s="15">
        <v>-299345.98613622464</v>
      </c>
      <c r="E36" s="15">
        <v>299345.98613622464</v>
      </c>
      <c r="F36" s="15">
        <v>4222.221626151877</v>
      </c>
      <c r="G36" s="15">
        <v>17827155.460344601</v>
      </c>
      <c r="H36" s="10">
        <v>245048720</v>
      </c>
      <c r="I36" s="1"/>
      <c r="J36" s="1"/>
      <c r="K36" s="1"/>
      <c r="L36" s="1"/>
      <c r="M36" s="1"/>
    </row>
    <row r="37" spans="1:13" ht="22" customHeight="1">
      <c r="A37" s="10">
        <v>5000</v>
      </c>
      <c r="B37" s="10">
        <v>12</v>
      </c>
      <c r="C37" s="10">
        <v>245048720</v>
      </c>
      <c r="D37" s="15">
        <v>-303328.97539566038</v>
      </c>
      <c r="E37" s="15">
        <v>303328.97539566038</v>
      </c>
      <c r="F37" s="15">
        <v>239.23236671613995</v>
      </c>
      <c r="G37" s="15">
        <v>57232.125284605667</v>
      </c>
      <c r="H37" s="10">
        <v>1503609363</v>
      </c>
      <c r="I37" s="1"/>
      <c r="J37" s="1"/>
      <c r="K37" s="1"/>
      <c r="L37" s="1"/>
      <c r="M37" s="1"/>
    </row>
    <row r="38" spans="1:13" ht="22" customHeight="1">
      <c r="A38" s="10">
        <v>5000</v>
      </c>
      <c r="B38" s="10">
        <v>13</v>
      </c>
      <c r="C38" s="10">
        <v>1503609363</v>
      </c>
      <c r="D38" s="15">
        <v>-304833.27225079213</v>
      </c>
      <c r="E38" s="15">
        <v>304833.27225079213</v>
      </c>
      <c r="F38" s="15">
        <v>-1265.0644884156063</v>
      </c>
      <c r="G38" s="15">
        <v>1600388.1598502398</v>
      </c>
      <c r="H38" s="10">
        <v>436644537</v>
      </c>
      <c r="I38" s="1"/>
      <c r="J38" s="1"/>
      <c r="K38" s="1"/>
      <c r="L38" s="1"/>
      <c r="M38" s="1"/>
    </row>
    <row r="39" spans="1:13" ht="22" customHeight="1">
      <c r="A39" s="10">
        <v>5000</v>
      </c>
      <c r="B39" s="10">
        <v>14</v>
      </c>
      <c r="C39" s="10">
        <v>436644537</v>
      </c>
      <c r="D39" s="15">
        <v>-310993.79806393746</v>
      </c>
      <c r="E39" s="15">
        <v>310993.79806393746</v>
      </c>
      <c r="F39" s="15">
        <v>-7425.5903015609365</v>
      </c>
      <c r="G39" s="15">
        <v>55139391.326635838</v>
      </c>
      <c r="H39" s="10">
        <v>570067205</v>
      </c>
      <c r="I39" s="1"/>
      <c r="J39" s="1"/>
      <c r="K39" s="1"/>
      <c r="L39" s="1"/>
      <c r="M39" s="1"/>
    </row>
    <row r="40" spans="1:13" ht="22" customHeight="1">
      <c r="A40" s="10">
        <v>5000</v>
      </c>
      <c r="B40" s="10">
        <v>15</v>
      </c>
      <c r="C40" s="10">
        <v>570067205</v>
      </c>
      <c r="D40" s="15">
        <v>-299762.52056466136</v>
      </c>
      <c r="E40" s="15">
        <v>299762.52056466136</v>
      </c>
      <c r="F40" s="15">
        <v>3805.6871977151604</v>
      </c>
      <c r="G40" s="15">
        <v>14483255.046853071</v>
      </c>
      <c r="H40" s="10">
        <v>246753190</v>
      </c>
      <c r="I40" s="1"/>
      <c r="J40" s="1"/>
      <c r="K40" s="1"/>
      <c r="L40" s="1"/>
      <c r="M40" s="1"/>
    </row>
    <row r="41" spans="1:13" ht="22" customHeight="1">
      <c r="A41" s="10">
        <v>5000</v>
      </c>
      <c r="B41" s="10">
        <v>16</v>
      </c>
      <c r="C41" s="10">
        <v>246753190</v>
      </c>
      <c r="D41" s="15">
        <v>-305277.46234592237</v>
      </c>
      <c r="E41" s="15">
        <v>305277.46234592237</v>
      </c>
      <c r="F41" s="15">
        <v>-1709.2545835458441</v>
      </c>
      <c r="G41" s="15">
        <v>2921551.231372477</v>
      </c>
      <c r="H41" s="10">
        <v>853653355</v>
      </c>
      <c r="I41" s="1"/>
      <c r="J41" s="1"/>
      <c r="K41" s="1"/>
      <c r="L41" s="1"/>
      <c r="M41" s="1"/>
    </row>
    <row r="42" spans="1:13" ht="22" customHeight="1">
      <c r="A42" s="10">
        <v>5000</v>
      </c>
      <c r="B42" s="10">
        <v>17</v>
      </c>
      <c r="C42" s="10">
        <v>853653355</v>
      </c>
      <c r="D42" s="15">
        <v>-293177.77056058764</v>
      </c>
      <c r="E42" s="15">
        <v>293177.77056058764</v>
      </c>
      <c r="F42" s="15">
        <v>10390.437201788882</v>
      </c>
      <c r="G42" s="15">
        <v>107961185.24431837</v>
      </c>
      <c r="H42" s="10">
        <v>395082403</v>
      </c>
      <c r="I42" s="1"/>
      <c r="J42" s="1"/>
      <c r="K42" s="1"/>
      <c r="L42" s="1"/>
      <c r="M42" s="1"/>
    </row>
    <row r="43" spans="1:13" ht="22" customHeight="1">
      <c r="A43" s="10">
        <v>5000</v>
      </c>
      <c r="B43" s="10">
        <v>18</v>
      </c>
      <c r="C43" s="10">
        <v>395082403</v>
      </c>
      <c r="D43" s="15">
        <v>-307889.86047488271</v>
      </c>
      <c r="E43" s="15">
        <v>307889.86047488271</v>
      </c>
      <c r="F43" s="15">
        <v>-4321.6527125061839</v>
      </c>
      <c r="G43" s="15">
        <v>18676682.167512055</v>
      </c>
      <c r="H43" s="10">
        <v>1001716526</v>
      </c>
      <c r="I43" s="1"/>
      <c r="J43" s="1"/>
      <c r="K43" s="1"/>
      <c r="L43" s="1"/>
      <c r="M43" s="1"/>
    </row>
    <row r="44" spans="1:13" ht="22" customHeight="1">
      <c r="A44" s="10">
        <v>5000</v>
      </c>
      <c r="B44" s="10">
        <v>19</v>
      </c>
      <c r="C44" s="10">
        <v>1001716526</v>
      </c>
      <c r="D44" s="15">
        <v>-311254.02470725524</v>
      </c>
      <c r="E44" s="15">
        <v>311254.02470725524</v>
      </c>
      <c r="F44" s="15">
        <v>-7685.816944878723</v>
      </c>
      <c r="G44" s="15">
        <v>59071782.110184908</v>
      </c>
      <c r="H44" s="10">
        <v>1333932516</v>
      </c>
      <c r="I44" s="1"/>
      <c r="J44" s="1"/>
      <c r="K44" s="1"/>
      <c r="L44" s="1"/>
      <c r="M44" s="1"/>
    </row>
    <row r="45" spans="1:13" ht="22" customHeight="1">
      <c r="A45" s="10">
        <v>5000</v>
      </c>
      <c r="B45" s="10">
        <v>20</v>
      </c>
      <c r="C45" s="10">
        <v>1333932516</v>
      </c>
      <c r="D45" s="15">
        <v>-309931.27121767984</v>
      </c>
      <c r="E45" s="15">
        <v>309931.27121767984</v>
      </c>
      <c r="F45" s="15">
        <v>-6363.063455303316</v>
      </c>
      <c r="G45" s="15">
        <v>40488576.536216572</v>
      </c>
      <c r="H45" s="10">
        <v>1235815420</v>
      </c>
      <c r="I45" s="1"/>
      <c r="J45" s="1"/>
      <c r="K45" s="1"/>
      <c r="L45" s="1"/>
      <c r="M45" s="1"/>
    </row>
    <row r="46" spans="1:13" ht="22" customHeight="1">
      <c r="A46" s="10">
        <v>10000</v>
      </c>
      <c r="B46" s="10">
        <v>1</v>
      </c>
      <c r="C46" s="10">
        <v>1235815420</v>
      </c>
      <c r="D46" s="15">
        <v>-311002.39539942396</v>
      </c>
      <c r="E46" s="15">
        <v>311002.39539942396</v>
      </c>
      <c r="F46" s="15">
        <v>-7434.1876370474347</v>
      </c>
      <c r="G46" s="15">
        <v>55267145.822828919</v>
      </c>
      <c r="H46" s="10">
        <v>858102166</v>
      </c>
      <c r="I46" s="1"/>
      <c r="J46" s="1"/>
      <c r="K46" s="1"/>
      <c r="L46" s="1"/>
      <c r="M46" s="1"/>
    </row>
    <row r="47" spans="1:13" ht="22" customHeight="1">
      <c r="A47" s="10">
        <v>10000</v>
      </c>
      <c r="B47" s="10">
        <v>2</v>
      </c>
      <c r="C47" s="10">
        <v>858102166</v>
      </c>
      <c r="D47" s="15">
        <v>-302906.37568415806</v>
      </c>
      <c r="E47" s="15">
        <v>302906.37568415806</v>
      </c>
      <c r="F47" s="15">
        <v>661.83207821846008</v>
      </c>
      <c r="G47" s="15">
        <v>438021.69975896587</v>
      </c>
      <c r="H47" s="10">
        <v>1560274015</v>
      </c>
      <c r="I47" s="1"/>
      <c r="J47" s="1"/>
      <c r="K47" s="1"/>
      <c r="L47" s="1"/>
      <c r="M47" s="1"/>
    </row>
    <row r="48" spans="1:13" ht="22" customHeight="1">
      <c r="A48" s="10">
        <v>10000</v>
      </c>
      <c r="B48" s="10">
        <v>3</v>
      </c>
      <c r="C48" s="10">
        <v>1560274015</v>
      </c>
      <c r="D48" s="15">
        <v>-297958.73482379754</v>
      </c>
      <c r="E48" s="15">
        <v>297958.73482379754</v>
      </c>
      <c r="F48" s="15">
        <v>5609.4729385789833</v>
      </c>
      <c r="G48" s="15">
        <v>31466186.648649935</v>
      </c>
      <c r="H48" s="10">
        <v>1669861890</v>
      </c>
      <c r="I48" s="1"/>
      <c r="J48" s="1"/>
      <c r="K48" s="1"/>
      <c r="L48" s="1"/>
      <c r="M48" s="1"/>
    </row>
    <row r="49" spans="1:13" ht="22" customHeight="1">
      <c r="A49" s="10">
        <v>10000</v>
      </c>
      <c r="B49" s="10">
        <v>4</v>
      </c>
      <c r="C49" s="10">
        <v>1669861890</v>
      </c>
      <c r="D49" s="15">
        <v>-308156.8669448446</v>
      </c>
      <c r="E49" s="15">
        <v>308156.8669448446</v>
      </c>
      <c r="F49" s="15">
        <v>-4588.65918246808</v>
      </c>
      <c r="G49" s="15">
        <v>21055793.092848629</v>
      </c>
      <c r="H49" s="10">
        <v>132856117</v>
      </c>
      <c r="I49" s="1"/>
      <c r="J49" s="1"/>
      <c r="K49" s="1"/>
      <c r="L49" s="1"/>
      <c r="M49" s="1"/>
    </row>
    <row r="50" spans="1:13" ht="22" customHeight="1">
      <c r="A50" s="10">
        <v>10000</v>
      </c>
      <c r="B50" s="10">
        <v>5</v>
      </c>
      <c r="C50" s="10">
        <v>132856117</v>
      </c>
      <c r="D50" s="15">
        <v>-308171.18630570028</v>
      </c>
      <c r="E50" s="15">
        <v>308171.18630570028</v>
      </c>
      <c r="F50" s="15">
        <v>-4602.9785433237557</v>
      </c>
      <c r="G50" s="15">
        <v>21187411.470298883</v>
      </c>
      <c r="H50" s="10">
        <v>1075049708</v>
      </c>
      <c r="I50" s="1"/>
      <c r="J50" s="1"/>
      <c r="K50" s="1"/>
      <c r="L50" s="1"/>
      <c r="M50" s="1"/>
    </row>
    <row r="51" spans="1:13" ht="22" customHeight="1">
      <c r="A51" s="11">
        <v>10000</v>
      </c>
      <c r="B51" s="11">
        <v>6</v>
      </c>
      <c r="C51" s="11">
        <v>1075049708</v>
      </c>
      <c r="D51" s="16">
        <v>-301655.25069265568</v>
      </c>
      <c r="E51" s="16">
        <v>301655.25069265568</v>
      </c>
      <c r="F51" s="16">
        <v>1912.9570697208401</v>
      </c>
      <c r="G51" s="16">
        <v>3659404.7505949428</v>
      </c>
      <c r="H51" s="11">
        <v>1233954060</v>
      </c>
    </row>
    <row r="52" spans="1:13" ht="22" customHeight="1">
      <c r="A52" s="11">
        <v>10000</v>
      </c>
      <c r="B52" s="11">
        <v>7</v>
      </c>
      <c r="C52" s="11">
        <v>1233954060</v>
      </c>
      <c r="D52" s="16">
        <v>-305418.00490354671</v>
      </c>
      <c r="E52" s="16">
        <v>305418.00490354671</v>
      </c>
      <c r="F52" s="16">
        <v>-1849.7971411701874</v>
      </c>
      <c r="G52" s="16">
        <v>3421749.4634813983</v>
      </c>
      <c r="H52" s="11">
        <v>535784373</v>
      </c>
    </row>
    <row r="53" spans="1:13" ht="22" customHeight="1">
      <c r="A53" s="11">
        <v>10000</v>
      </c>
      <c r="B53" s="11">
        <v>8</v>
      </c>
      <c r="C53" s="11">
        <v>535784373</v>
      </c>
      <c r="D53" s="16">
        <v>-306542.87752736179</v>
      </c>
      <c r="E53" s="16">
        <v>306542.87752736179</v>
      </c>
      <c r="F53" s="16">
        <v>-2974.6697649852722</v>
      </c>
      <c r="G53" s="16">
        <v>8848660.2107175346</v>
      </c>
      <c r="H53" s="11">
        <v>1908089166</v>
      </c>
    </row>
    <row r="54" spans="1:13" ht="22" customHeight="1">
      <c r="A54" s="11">
        <v>10000</v>
      </c>
      <c r="B54" s="11">
        <v>9</v>
      </c>
      <c r="C54" s="11">
        <v>1908089166</v>
      </c>
      <c r="D54" s="16">
        <v>-308933.11305033829</v>
      </c>
      <c r="E54" s="16">
        <v>308933.11305033829</v>
      </c>
      <c r="F54" s="16">
        <v>-5364.9052879617666</v>
      </c>
      <c r="G54" s="16">
        <v>28782208.748800125</v>
      </c>
      <c r="H54" s="11">
        <v>693455147</v>
      </c>
    </row>
    <row r="55" spans="1:13" ht="22" customHeight="1">
      <c r="A55" s="11">
        <v>10000</v>
      </c>
      <c r="B55" s="11">
        <v>10</v>
      </c>
      <c r="C55" s="11">
        <v>693455147</v>
      </c>
      <c r="D55" s="16">
        <v>-301121.21302612551</v>
      </c>
      <c r="E55" s="16">
        <v>301121.21302612551</v>
      </c>
      <c r="F55" s="16">
        <v>2446.9947362510138</v>
      </c>
      <c r="G55" s="16">
        <v>5987783.2392401686</v>
      </c>
      <c r="H55" s="11">
        <v>2146914793</v>
      </c>
    </row>
    <row r="56" spans="1:13" ht="22" customHeight="1">
      <c r="A56" s="11">
        <v>10000</v>
      </c>
      <c r="B56" s="11">
        <v>11</v>
      </c>
      <c r="C56" s="11">
        <v>2146914793</v>
      </c>
      <c r="D56" s="16">
        <v>-304541.65962903085</v>
      </c>
      <c r="E56" s="16">
        <v>304541.65962903085</v>
      </c>
      <c r="F56" s="16">
        <v>-973.45186665432993</v>
      </c>
      <c r="G56" s="16">
        <v>947608.5366927993</v>
      </c>
      <c r="H56" s="11">
        <v>1004202862</v>
      </c>
    </row>
    <row r="57" spans="1:13" ht="22" customHeight="1">
      <c r="A57" s="11">
        <v>10000</v>
      </c>
      <c r="B57" s="11">
        <v>12</v>
      </c>
      <c r="C57" s="11">
        <v>1004202862</v>
      </c>
      <c r="D57" s="16">
        <v>-304910.05487599736</v>
      </c>
      <c r="E57" s="16">
        <v>304910.05487599736</v>
      </c>
      <c r="F57" s="16">
        <v>-1341.8471136208391</v>
      </c>
      <c r="G57" s="16">
        <v>1800553.6763325771</v>
      </c>
      <c r="H57" s="11">
        <v>93164880</v>
      </c>
    </row>
    <row r="58" spans="1:13" ht="22" customHeight="1">
      <c r="A58" s="11">
        <v>10000</v>
      </c>
      <c r="B58" s="11">
        <v>13</v>
      </c>
      <c r="C58" s="11">
        <v>93164880</v>
      </c>
      <c r="D58" s="16">
        <v>-302203.8660144051</v>
      </c>
      <c r="E58" s="16">
        <v>302203.8660144051</v>
      </c>
      <c r="F58" s="16">
        <v>1364.3417479714262</v>
      </c>
      <c r="G58" s="16">
        <v>1861428.4052577268</v>
      </c>
      <c r="H58" s="11">
        <v>1862010563</v>
      </c>
    </row>
    <row r="59" spans="1:13" ht="22" customHeight="1">
      <c r="A59" s="11">
        <v>10000</v>
      </c>
      <c r="B59" s="11">
        <v>14</v>
      </c>
      <c r="C59" s="11">
        <v>1862010563</v>
      </c>
      <c r="D59" s="16">
        <v>-303018.15799659485</v>
      </c>
      <c r="E59" s="16">
        <v>303018.15799659485</v>
      </c>
      <c r="F59" s="16">
        <v>550.04976578167407</v>
      </c>
      <c r="G59" s="16">
        <v>302554.74483647448</v>
      </c>
      <c r="H59" s="11">
        <v>405922382</v>
      </c>
    </row>
    <row r="60" spans="1:13" ht="22" customHeight="1">
      <c r="A60" s="11">
        <v>10000</v>
      </c>
      <c r="B60" s="11">
        <v>15</v>
      </c>
      <c r="C60" s="11">
        <v>405922382</v>
      </c>
      <c r="D60" s="16">
        <v>-314616.65098675445</v>
      </c>
      <c r="E60" s="16">
        <v>314616.65098675445</v>
      </c>
      <c r="F60" s="16">
        <v>-11048.44322437793</v>
      </c>
      <c r="G60" s="16">
        <v>122068097.68230259</v>
      </c>
      <c r="H60" s="11">
        <v>1328580887</v>
      </c>
    </row>
    <row r="61" spans="1:13" ht="22" customHeight="1">
      <c r="A61" s="11">
        <v>10000</v>
      </c>
      <c r="B61" s="11">
        <v>16</v>
      </c>
      <c r="C61" s="11">
        <v>1328580887</v>
      </c>
      <c r="D61" s="16">
        <v>-300990.86542945507</v>
      </c>
      <c r="E61" s="16">
        <v>300990.86542945507</v>
      </c>
      <c r="F61" s="16">
        <v>2577.3423329214565</v>
      </c>
      <c r="G61" s="16">
        <v>6642693.5010690158</v>
      </c>
      <c r="H61" s="11">
        <v>1923953883</v>
      </c>
    </row>
    <row r="62" spans="1:13" ht="22" customHeight="1">
      <c r="A62" s="11">
        <v>10000</v>
      </c>
      <c r="B62" s="11">
        <v>17</v>
      </c>
      <c r="C62" s="11">
        <v>1923953883</v>
      </c>
      <c r="D62" s="16">
        <v>-310120.29413466761</v>
      </c>
      <c r="E62" s="16">
        <v>310120.29413466761</v>
      </c>
      <c r="F62" s="16">
        <v>-6552.0863722910872</v>
      </c>
      <c r="G62" s="16">
        <v>42929835.829962581</v>
      </c>
      <c r="H62" s="11">
        <v>598143019</v>
      </c>
    </row>
    <row r="63" spans="1:13" ht="22" customHeight="1">
      <c r="A63" s="11">
        <v>10000</v>
      </c>
      <c r="B63" s="11">
        <v>18</v>
      </c>
      <c r="C63" s="11">
        <v>598143019</v>
      </c>
      <c r="D63" s="16">
        <v>-298016.21540292806</v>
      </c>
      <c r="E63" s="16">
        <v>298016.21540292806</v>
      </c>
      <c r="F63" s="16">
        <v>5551.9923594484571</v>
      </c>
      <c r="G63" s="16">
        <v>30824619.159374047</v>
      </c>
      <c r="H63" s="11">
        <v>1262598580</v>
      </c>
    </row>
    <row r="64" spans="1:13" ht="22" customHeight="1">
      <c r="A64" s="11">
        <v>10000</v>
      </c>
      <c r="B64" s="11">
        <v>19</v>
      </c>
      <c r="C64" s="11">
        <v>1262598580</v>
      </c>
      <c r="D64" s="16">
        <v>-298710.15063388541</v>
      </c>
      <c r="E64" s="16">
        <v>298710.15063388541</v>
      </c>
      <c r="F64" s="16">
        <v>4858.057128491113</v>
      </c>
      <c r="G64" s="16">
        <v>23600719.06368332</v>
      </c>
      <c r="H64" s="11">
        <v>787159019</v>
      </c>
    </row>
    <row r="65" spans="1:8" ht="22" customHeight="1">
      <c r="A65" s="11">
        <v>10000</v>
      </c>
      <c r="B65" s="11">
        <v>20</v>
      </c>
      <c r="C65" s="11">
        <v>787159019</v>
      </c>
      <c r="D65" s="16">
        <v>-302383.17853052978</v>
      </c>
      <c r="E65" s="16">
        <v>302383.17853052978</v>
      </c>
      <c r="F65" s="16">
        <v>1185.02923184674</v>
      </c>
      <c r="G65" s="16">
        <v>1404294.2803312747</v>
      </c>
      <c r="H65" s="11">
        <v>144952091</v>
      </c>
    </row>
    <row r="66" spans="1:8" ht="22" customHeight="1">
      <c r="A66" s="11">
        <v>50000</v>
      </c>
      <c r="B66" s="11">
        <v>1</v>
      </c>
      <c r="C66" s="11">
        <v>144952091</v>
      </c>
      <c r="D66" s="16">
        <v>-306723.25700611266</v>
      </c>
      <c r="E66" s="16">
        <v>306723.25700611266</v>
      </c>
      <c r="F66" s="16">
        <v>-3155.049243736139</v>
      </c>
      <c r="G66" s="16">
        <v>9954335.730399983</v>
      </c>
      <c r="H66" s="11">
        <v>1828069236</v>
      </c>
    </row>
    <row r="67" spans="1:8" ht="22" customHeight="1">
      <c r="A67" s="11">
        <v>50000</v>
      </c>
      <c r="B67" s="11">
        <v>2</v>
      </c>
      <c r="C67" s="11">
        <v>1828069236</v>
      </c>
      <c r="D67" s="16">
        <v>-303193.54701752629</v>
      </c>
      <c r="E67" s="16">
        <v>303193.54701752629</v>
      </c>
      <c r="F67" s="16">
        <v>374.66074485023273</v>
      </c>
      <c r="G67" s="16">
        <v>140370.67373173119</v>
      </c>
      <c r="H67" s="11">
        <v>1043277017</v>
      </c>
    </row>
    <row r="68" spans="1:8" ht="22" customHeight="1">
      <c r="A68" s="11">
        <v>50000</v>
      </c>
      <c r="B68" s="11">
        <v>3</v>
      </c>
      <c r="C68" s="11">
        <v>1043277017</v>
      </c>
      <c r="D68" s="16">
        <v>-307241.21887787856</v>
      </c>
      <c r="E68" s="16">
        <v>307241.21887787856</v>
      </c>
      <c r="F68" s="16">
        <v>-3673.0111155020422</v>
      </c>
      <c r="G68" s="16">
        <v>13491010.654601557</v>
      </c>
      <c r="H68" s="11">
        <v>1476924256</v>
      </c>
    </row>
    <row r="69" spans="1:8" ht="22" customHeight="1">
      <c r="A69" s="11">
        <v>50000</v>
      </c>
      <c r="B69" s="11">
        <v>4</v>
      </c>
      <c r="C69" s="11">
        <v>1476924256</v>
      </c>
      <c r="D69" s="16">
        <v>-303265.69551585126</v>
      </c>
      <c r="E69" s="16">
        <v>303265.69551585126</v>
      </c>
      <c r="F69" s="16">
        <v>302.51224652526435</v>
      </c>
      <c r="G69" s="16">
        <v>91513.659297762308</v>
      </c>
      <c r="H69" s="11">
        <v>1973755564</v>
      </c>
    </row>
    <row r="70" spans="1:8" ht="22" customHeight="1">
      <c r="A70" s="11">
        <v>50000</v>
      </c>
      <c r="B70" s="11">
        <v>5</v>
      </c>
      <c r="C70" s="11">
        <v>1973755564</v>
      </c>
      <c r="D70" s="16">
        <v>-303920.16234016075</v>
      </c>
      <c r="E70" s="16">
        <v>303920.16234016075</v>
      </c>
      <c r="F70" s="16">
        <v>-351.9545777842286</v>
      </c>
      <c r="G70" s="16">
        <v>123872.02482327462</v>
      </c>
      <c r="H70" s="11">
        <v>166428922</v>
      </c>
    </row>
    <row r="71" spans="1:8" ht="22" customHeight="1">
      <c r="A71" s="11">
        <v>50000</v>
      </c>
      <c r="B71" s="11">
        <v>6</v>
      </c>
      <c r="C71" s="11">
        <v>166428922</v>
      </c>
      <c r="D71" s="16">
        <v>-309275.96520773345</v>
      </c>
      <c r="E71" s="16">
        <v>309275.96520773345</v>
      </c>
      <c r="F71" s="16">
        <v>-5707.757445356925</v>
      </c>
      <c r="G71" s="16">
        <v>32578495.05502741</v>
      </c>
      <c r="H71" s="11">
        <v>1167192451</v>
      </c>
    </row>
    <row r="72" spans="1:8" ht="22" customHeight="1">
      <c r="A72" s="11">
        <v>50000</v>
      </c>
      <c r="B72" s="11">
        <v>7</v>
      </c>
      <c r="C72" s="11">
        <v>1167192451</v>
      </c>
      <c r="D72" s="16">
        <v>-302777.43807540782</v>
      </c>
      <c r="E72" s="16">
        <v>302777.43807540782</v>
      </c>
      <c r="F72" s="16">
        <v>790.76968696870608</v>
      </c>
      <c r="G72" s="16">
        <v>625316.6978285854</v>
      </c>
      <c r="H72" s="11">
        <v>228690354</v>
      </c>
    </row>
    <row r="73" spans="1:8" ht="22" customHeight="1">
      <c r="A73" s="11">
        <v>50000</v>
      </c>
      <c r="B73" s="11">
        <v>8</v>
      </c>
      <c r="C73" s="11">
        <v>228690354</v>
      </c>
      <c r="D73" s="16">
        <v>-306854.27803163556</v>
      </c>
      <c r="E73" s="16">
        <v>306854.27803163556</v>
      </c>
      <c r="F73" s="16">
        <v>-3286.0702692590421</v>
      </c>
      <c r="G73" s="16">
        <v>10798257.814508194</v>
      </c>
      <c r="H73" s="11">
        <v>1783771498</v>
      </c>
    </row>
    <row r="74" spans="1:8" ht="22" customHeight="1">
      <c r="A74" s="11">
        <v>50000</v>
      </c>
      <c r="B74" s="11">
        <v>9</v>
      </c>
      <c r="C74" s="11">
        <v>1783771498</v>
      </c>
      <c r="D74" s="16">
        <v>-305533.02189972578</v>
      </c>
      <c r="E74" s="16">
        <v>305533.02189972578</v>
      </c>
      <c r="F74" s="16">
        <v>-1964.8141373492545</v>
      </c>
      <c r="G74" s="16">
        <v>3860494.594327495</v>
      </c>
      <c r="H74" s="11">
        <v>285369472</v>
      </c>
    </row>
    <row r="75" spans="1:8" ht="22" customHeight="1">
      <c r="A75" s="11">
        <v>50000</v>
      </c>
      <c r="B75" s="11">
        <v>10</v>
      </c>
      <c r="C75" s="11">
        <v>285369472</v>
      </c>
      <c r="D75" s="16">
        <v>-303945.05623511813</v>
      </c>
      <c r="E75" s="16">
        <v>303945.05623511813</v>
      </c>
      <c r="F75" s="16">
        <v>-376.84847274160711</v>
      </c>
      <c r="G75" s="16">
        <v>142014.77140768181</v>
      </c>
      <c r="H75" s="11">
        <v>1011145345</v>
      </c>
    </row>
    <row r="76" spans="1:8" ht="22" customHeight="1">
      <c r="A76" s="11">
        <v>50000</v>
      </c>
      <c r="B76" s="11">
        <v>11</v>
      </c>
      <c r="C76" s="11">
        <v>1011145345</v>
      </c>
      <c r="D76" s="16">
        <v>-303172.8235576392</v>
      </c>
      <c r="E76" s="16">
        <v>303172.8235576392</v>
      </c>
      <c r="F76" s="16">
        <v>395.38420473731821</v>
      </c>
      <c r="G76" s="16">
        <v>156328.66935576158</v>
      </c>
      <c r="H76" s="11">
        <v>117997057</v>
      </c>
    </row>
    <row r="77" spans="1:8" ht="22" customHeight="1">
      <c r="A77" s="11">
        <v>50000</v>
      </c>
      <c r="B77" s="11">
        <v>12</v>
      </c>
      <c r="C77" s="11">
        <v>117997057</v>
      </c>
      <c r="D77" s="16">
        <v>-301386.86847894604</v>
      </c>
      <c r="E77" s="16">
        <v>301386.86847894604</v>
      </c>
      <c r="F77" s="16">
        <v>2181.3392834304832</v>
      </c>
      <c r="G77" s="16">
        <v>4758241.0694370139</v>
      </c>
      <c r="H77" s="11">
        <v>1740280968</v>
      </c>
    </row>
    <row r="78" spans="1:8" ht="22" customHeight="1">
      <c r="A78" s="11">
        <v>50000</v>
      </c>
      <c r="B78" s="11">
        <v>13</v>
      </c>
      <c r="C78" s="11">
        <v>1740280968</v>
      </c>
      <c r="D78" s="16">
        <v>-302063.65084782097</v>
      </c>
      <c r="E78" s="16">
        <v>302063.65084782097</v>
      </c>
      <c r="F78" s="16">
        <v>1504.5569145555492</v>
      </c>
      <c r="G78" s="16">
        <v>2263691.5091369143</v>
      </c>
      <c r="H78" s="11">
        <v>1860747516</v>
      </c>
    </row>
    <row r="79" spans="1:8" ht="22" customHeight="1">
      <c r="A79" s="11">
        <v>50000</v>
      </c>
      <c r="B79" s="11">
        <v>14</v>
      </c>
      <c r="C79" s="11">
        <v>1860747516</v>
      </c>
      <c r="D79" s="16">
        <v>-301297.06646767462</v>
      </c>
      <c r="E79" s="16">
        <v>301297.06646767462</v>
      </c>
      <c r="F79" s="16">
        <v>2271.141294701898</v>
      </c>
      <c r="G79" s="16">
        <v>5158082.7805002136</v>
      </c>
      <c r="H79" s="11">
        <v>77935215</v>
      </c>
    </row>
    <row r="80" spans="1:8" ht="22" customHeight="1">
      <c r="A80" s="11">
        <v>50000</v>
      </c>
      <c r="B80" s="11">
        <v>15</v>
      </c>
      <c r="C80" s="11">
        <v>77935215</v>
      </c>
      <c r="D80" s="16">
        <v>-302174.79709385027</v>
      </c>
      <c r="E80" s="16">
        <v>302174.79709385027</v>
      </c>
      <c r="F80" s="16">
        <v>1393.4106685262523</v>
      </c>
      <c r="G80" s="16">
        <v>1941593.2911627772</v>
      </c>
      <c r="H80" s="11">
        <v>1353797657</v>
      </c>
    </row>
    <row r="81" spans="1:8" ht="22" customHeight="1">
      <c r="A81" s="11">
        <v>50000</v>
      </c>
      <c r="B81" s="11">
        <v>16</v>
      </c>
      <c r="C81" s="11">
        <v>1353797657</v>
      </c>
      <c r="D81" s="16">
        <v>-308147.42726785148</v>
      </c>
      <c r="E81" s="16">
        <v>308147.42726785148</v>
      </c>
      <c r="F81" s="16">
        <v>-4579.2195054749609</v>
      </c>
      <c r="G81" s="16">
        <v>20969251.279322345</v>
      </c>
      <c r="H81" s="11">
        <v>1159458847</v>
      </c>
    </row>
    <row r="82" spans="1:8" ht="22" customHeight="1">
      <c r="A82" s="11">
        <v>50000</v>
      </c>
      <c r="B82" s="11">
        <v>17</v>
      </c>
      <c r="C82" s="11">
        <v>1159458847</v>
      </c>
      <c r="D82" s="16">
        <v>-306810.40058895183</v>
      </c>
      <c r="E82" s="16">
        <v>306810.40058895183</v>
      </c>
      <c r="F82" s="16">
        <v>-3242.1928265753086</v>
      </c>
      <c r="G82" s="16">
        <v>10511814.324696388</v>
      </c>
      <c r="H82" s="11">
        <v>1561251980</v>
      </c>
    </row>
    <row r="83" spans="1:8" ht="22" customHeight="1">
      <c r="A83" s="11">
        <v>50000</v>
      </c>
      <c r="B83" s="11">
        <v>18</v>
      </c>
      <c r="C83" s="11">
        <v>1561251980</v>
      </c>
      <c r="D83" s="16">
        <v>-304282.27372126724</v>
      </c>
      <c r="E83" s="16">
        <v>304282.27372126724</v>
      </c>
      <c r="F83" s="16">
        <v>-714.06595889071468</v>
      </c>
      <c r="G83" s="16">
        <v>509890.19364651584</v>
      </c>
      <c r="H83" s="11">
        <v>1363154071</v>
      </c>
    </row>
    <row r="84" spans="1:8" ht="22" customHeight="1">
      <c r="A84" s="11">
        <v>50000</v>
      </c>
      <c r="B84" s="11">
        <v>19</v>
      </c>
      <c r="C84" s="11">
        <v>1363154071</v>
      </c>
      <c r="D84" s="16">
        <v>-301941.86453496554</v>
      </c>
      <c r="E84" s="16">
        <v>301941.86453496554</v>
      </c>
      <c r="F84" s="16">
        <v>1626.34322741098</v>
      </c>
      <c r="G84" s="16">
        <v>2644992.2933455626</v>
      </c>
      <c r="H84" s="11">
        <v>238263891</v>
      </c>
    </row>
    <row r="85" spans="1:8" ht="22" customHeight="1">
      <c r="A85" s="11">
        <v>50000</v>
      </c>
      <c r="B85" s="11">
        <v>20</v>
      </c>
      <c r="C85" s="11">
        <v>238263891</v>
      </c>
      <c r="D85" s="16">
        <v>-305310.3780603609</v>
      </c>
      <c r="E85" s="16">
        <v>305310.3780603609</v>
      </c>
      <c r="F85" s="16">
        <v>-1742.1702979843831</v>
      </c>
      <c r="G85" s="16">
        <v>3035157.3471789942</v>
      </c>
      <c r="H85" s="11">
        <v>595547497</v>
      </c>
    </row>
    <row r="86" spans="1:8" ht="22" customHeight="1">
      <c r="A86" s="11">
        <v>100000</v>
      </c>
      <c r="B86" s="11">
        <v>1</v>
      </c>
      <c r="C86" s="11">
        <v>595547497</v>
      </c>
      <c r="D86" s="16">
        <v>-303982.69903841632</v>
      </c>
      <c r="E86" s="16">
        <v>303982.69903841632</v>
      </c>
      <c r="F86" s="16">
        <v>-414.49127603980014</v>
      </c>
      <c r="G86" s="16">
        <v>171803.01791310179</v>
      </c>
      <c r="H86" s="11">
        <v>1215176980</v>
      </c>
    </row>
    <row r="87" spans="1:8" ht="22" customHeight="1">
      <c r="A87" s="11">
        <v>100000</v>
      </c>
      <c r="B87" s="11">
        <v>2</v>
      </c>
      <c r="C87" s="11">
        <v>1215176980</v>
      </c>
      <c r="D87" s="16">
        <v>-304458.26501098688</v>
      </c>
      <c r="E87" s="16">
        <v>304458.26501098688</v>
      </c>
      <c r="F87" s="16">
        <v>-890.05724861036288</v>
      </c>
      <c r="G87" s="16">
        <v>792201.90580384934</v>
      </c>
      <c r="H87" s="11">
        <v>1601839967</v>
      </c>
    </row>
    <row r="88" spans="1:8" ht="22" customHeight="1">
      <c r="A88" s="11">
        <v>100000</v>
      </c>
      <c r="B88" s="11">
        <v>3</v>
      </c>
      <c r="C88" s="11">
        <v>1601839967</v>
      </c>
      <c r="D88" s="16">
        <v>-304847.05477531574</v>
      </c>
      <c r="E88" s="16">
        <v>304847.05477531574</v>
      </c>
      <c r="F88" s="16">
        <v>-1278.8470129392226</v>
      </c>
      <c r="G88" s="16">
        <v>1635449.6825035722</v>
      </c>
      <c r="H88" s="11">
        <v>1772555783</v>
      </c>
    </row>
    <row r="89" spans="1:8" ht="22" customHeight="1">
      <c r="A89" s="11">
        <v>100000</v>
      </c>
      <c r="B89" s="11">
        <v>4</v>
      </c>
      <c r="C89" s="11">
        <v>1772555783</v>
      </c>
      <c r="D89" s="16">
        <v>-303775.9203506108</v>
      </c>
      <c r="E89" s="16">
        <v>303775.9203506108</v>
      </c>
      <c r="F89" s="16">
        <v>-207.7125882342807</v>
      </c>
      <c r="G89" s="16">
        <v>43144.519310983844</v>
      </c>
      <c r="H89" s="11">
        <v>1755716146</v>
      </c>
    </row>
    <row r="90" spans="1:8" ht="22" customHeight="1">
      <c r="A90" s="11">
        <v>100000</v>
      </c>
      <c r="B90" s="11">
        <v>5</v>
      </c>
      <c r="C90" s="11">
        <v>1755716146</v>
      </c>
      <c r="D90" s="16">
        <v>-304425.85930039763</v>
      </c>
      <c r="E90" s="16">
        <v>304425.85930039763</v>
      </c>
      <c r="F90" s="16">
        <v>-857.65153802110581</v>
      </c>
      <c r="G90" s="16">
        <v>735566.16066996835</v>
      </c>
      <c r="H90" s="11">
        <v>519446761</v>
      </c>
    </row>
    <row r="91" spans="1:8" ht="22" customHeight="1">
      <c r="A91" s="11">
        <v>100000</v>
      </c>
      <c r="B91" s="11">
        <v>6</v>
      </c>
      <c r="C91" s="11">
        <v>519446761</v>
      </c>
      <c r="D91" s="16">
        <v>-301822.262098381</v>
      </c>
      <c r="E91" s="16">
        <v>301822.262098381</v>
      </c>
      <c r="F91" s="16">
        <v>1745.945663995517</v>
      </c>
      <c r="G91" s="16">
        <v>3048326.2616247465</v>
      </c>
      <c r="H91" s="11">
        <v>1673268671</v>
      </c>
    </row>
    <row r="92" spans="1:8" ht="22" customHeight="1">
      <c r="A92" s="11">
        <v>100000</v>
      </c>
      <c r="B92" s="11">
        <v>7</v>
      </c>
      <c r="C92" s="11">
        <v>1673268671</v>
      </c>
      <c r="D92" s="16">
        <v>-304398.41730596765</v>
      </c>
      <c r="E92" s="16">
        <v>304398.41730596765</v>
      </c>
      <c r="F92" s="16">
        <v>-830.20954359113239</v>
      </c>
      <c r="G92" s="16">
        <v>689247.88626979629</v>
      </c>
      <c r="H92" s="11">
        <v>490213353</v>
      </c>
    </row>
    <row r="93" spans="1:8" ht="22" customHeight="1">
      <c r="A93" s="11">
        <v>100000</v>
      </c>
      <c r="B93" s="11">
        <v>8</v>
      </c>
      <c r="C93" s="11">
        <v>490213353</v>
      </c>
      <c r="D93" s="16">
        <v>-302920.77479444793</v>
      </c>
      <c r="E93" s="16">
        <v>302920.77479444793</v>
      </c>
      <c r="F93" s="16">
        <v>647.43296792858746</v>
      </c>
      <c r="G93" s="16">
        <v>419169.44796081935</v>
      </c>
      <c r="H93" s="11">
        <v>2009303803</v>
      </c>
    </row>
    <row r="94" spans="1:8" ht="22" customHeight="1">
      <c r="A94" s="11">
        <v>100000</v>
      </c>
      <c r="B94" s="11">
        <v>9</v>
      </c>
      <c r="C94" s="11">
        <v>2009303803</v>
      </c>
      <c r="D94" s="16">
        <v>-302897.31577248999</v>
      </c>
      <c r="E94" s="16">
        <v>302897.31577248999</v>
      </c>
      <c r="F94" s="16">
        <v>670.89198988652788</v>
      </c>
      <c r="G94" s="16">
        <v>450096.06209390506</v>
      </c>
      <c r="H94" s="11">
        <v>455786882</v>
      </c>
    </row>
    <row r="95" spans="1:8" ht="22" customHeight="1">
      <c r="A95" s="11">
        <v>100000</v>
      </c>
      <c r="B95" s="11">
        <v>10</v>
      </c>
      <c r="C95" s="11">
        <v>455786882</v>
      </c>
      <c r="D95" s="16">
        <v>-307208.74842270662</v>
      </c>
      <c r="E95" s="16">
        <v>307208.74842270662</v>
      </c>
      <c r="F95" s="16">
        <v>-3640.5406603300944</v>
      </c>
      <c r="G95" s="16">
        <v>13253536.29951668</v>
      </c>
      <c r="H95" s="11">
        <v>1523873662</v>
      </c>
    </row>
    <row r="96" spans="1:8" ht="22" customHeight="1">
      <c r="A96" s="11">
        <v>100000</v>
      </c>
      <c r="B96" s="11">
        <v>11</v>
      </c>
      <c r="C96" s="11">
        <v>1523873662</v>
      </c>
      <c r="D96" s="16">
        <v>-303831.74762968987</v>
      </c>
      <c r="E96" s="16">
        <v>303831.74762968987</v>
      </c>
      <c r="F96" s="16">
        <v>-263.53986731334589</v>
      </c>
      <c r="G96" s="16">
        <v>69453.261663535959</v>
      </c>
      <c r="H96" s="11">
        <v>800359254</v>
      </c>
    </row>
    <row r="97" spans="1:8" ht="22" customHeight="1">
      <c r="A97" s="11">
        <v>100000</v>
      </c>
      <c r="B97" s="11">
        <v>12</v>
      </c>
      <c r="C97" s="11">
        <v>800359254</v>
      </c>
      <c r="D97" s="16">
        <v>-302047.39309869485</v>
      </c>
      <c r="E97" s="16">
        <v>302047.39309869485</v>
      </c>
      <c r="F97" s="16">
        <v>1520.8146636816673</v>
      </c>
      <c r="G97" s="16">
        <v>2312877.2412691829</v>
      </c>
      <c r="H97" s="11">
        <v>71081479</v>
      </c>
    </row>
    <row r="98" spans="1:8" ht="22" customHeight="1">
      <c r="A98" s="11">
        <v>100000</v>
      </c>
      <c r="B98" s="11">
        <v>13</v>
      </c>
      <c r="C98" s="11">
        <v>71081479</v>
      </c>
      <c r="D98" s="16">
        <v>-303574.65488765243</v>
      </c>
      <c r="E98" s="16">
        <v>303574.65488765243</v>
      </c>
      <c r="F98" s="16">
        <v>-6.4471252759103663</v>
      </c>
      <c r="G98" s="16">
        <v>41.565424323282315</v>
      </c>
      <c r="H98" s="11">
        <v>1597889851</v>
      </c>
    </row>
    <row r="99" spans="1:8" ht="22" customHeight="1">
      <c r="A99" s="11">
        <v>100000</v>
      </c>
      <c r="B99" s="11">
        <v>14</v>
      </c>
      <c r="C99" s="11">
        <v>1597889851</v>
      </c>
      <c r="D99" s="16">
        <v>-303846.0272485179</v>
      </c>
      <c r="E99" s="16">
        <v>303846.0272485179</v>
      </c>
      <c r="F99" s="16">
        <v>-277.81948614137946</v>
      </c>
      <c r="G99" s="16">
        <v>77183.666879860131</v>
      </c>
      <c r="H99" s="11">
        <v>304014260</v>
      </c>
    </row>
    <row r="100" spans="1:8" ht="22" customHeight="1">
      <c r="A100" s="11">
        <v>100000</v>
      </c>
      <c r="B100" s="11">
        <v>15</v>
      </c>
      <c r="C100" s="11">
        <v>304014260</v>
      </c>
      <c r="D100" s="16">
        <v>-302132.81836647424</v>
      </c>
      <c r="E100" s="16">
        <v>302132.81836647424</v>
      </c>
      <c r="F100" s="16">
        <v>1435.3893959022826</v>
      </c>
      <c r="G100" s="16">
        <v>2060342.7178687197</v>
      </c>
      <c r="H100" s="11">
        <v>978741166</v>
      </c>
    </row>
    <row r="101" spans="1:8" ht="22" customHeight="1">
      <c r="A101" s="11">
        <v>100000</v>
      </c>
      <c r="B101" s="11">
        <v>16</v>
      </c>
      <c r="C101" s="11">
        <v>978741166</v>
      </c>
      <c r="D101" s="16">
        <v>-304368.74986810295</v>
      </c>
      <c r="E101" s="16">
        <v>304368.74986810295</v>
      </c>
      <c r="F101" s="16">
        <v>-800.54210572643206</v>
      </c>
      <c r="G101" s="16">
        <v>640867.66304090992</v>
      </c>
      <c r="H101" s="11">
        <v>227214993</v>
      </c>
    </row>
    <row r="102" spans="1:8" ht="22" customHeight="1">
      <c r="A102" s="11">
        <v>100000</v>
      </c>
      <c r="B102" s="11">
        <v>17</v>
      </c>
      <c r="C102" s="11">
        <v>227214993</v>
      </c>
      <c r="D102" s="16">
        <v>-303435.74305594777</v>
      </c>
      <c r="E102" s="16">
        <v>303435.74305594777</v>
      </c>
      <c r="F102" s="16">
        <v>132.46470642875647</v>
      </c>
      <c r="G102" s="16">
        <v>17546.898449256638</v>
      </c>
      <c r="H102" s="11">
        <v>1948559110</v>
      </c>
    </row>
    <row r="103" spans="1:8" ht="22" customHeight="1">
      <c r="A103" s="11">
        <v>100000</v>
      </c>
      <c r="B103" s="11">
        <v>18</v>
      </c>
      <c r="C103" s="11">
        <v>1948559110</v>
      </c>
      <c r="D103" s="16">
        <v>-301699.94399020792</v>
      </c>
      <c r="E103" s="16">
        <v>301699.94399020792</v>
      </c>
      <c r="F103" s="16">
        <v>1868.2637721686042</v>
      </c>
      <c r="G103" s="16">
        <v>3490409.522397662</v>
      </c>
      <c r="H103" s="11">
        <v>943067475</v>
      </c>
    </row>
    <row r="104" spans="1:8" ht="22" customHeight="1">
      <c r="A104" s="11">
        <v>100000</v>
      </c>
      <c r="B104" s="11">
        <v>19</v>
      </c>
      <c r="C104" s="11">
        <v>943067475</v>
      </c>
      <c r="D104" s="16">
        <v>-302097.70891355438</v>
      </c>
      <c r="E104" s="16">
        <v>302097.70891355438</v>
      </c>
      <c r="F104" s="16">
        <v>1470.4988488221425</v>
      </c>
      <c r="G104" s="16">
        <v>2162366.8643872463</v>
      </c>
      <c r="H104" s="11">
        <v>128497468</v>
      </c>
    </row>
    <row r="105" spans="1:8" ht="22" customHeight="1">
      <c r="A105" s="11">
        <v>100000</v>
      </c>
      <c r="B105" s="11">
        <v>20</v>
      </c>
      <c r="C105" s="11">
        <v>128497468</v>
      </c>
      <c r="D105" s="16">
        <v>-306001.46148836124</v>
      </c>
      <c r="E105" s="16">
        <v>306001.46148836124</v>
      </c>
      <c r="F105" s="16">
        <v>-2433.2537259847159</v>
      </c>
      <c r="G105" s="16">
        <v>5920723.6950185029</v>
      </c>
      <c r="H105" s="11">
        <v>1100917749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6F91B1"/>
  </sheetPr>
  <dimension ref="A1:M50"/>
  <sheetViews>
    <sheetView showGridLines="0" workbookViewId="0"/>
  </sheetViews>
  <sheetFormatPr baseColWidth="10" defaultColWidth="8.83203125" defaultRowHeight="14"/>
  <cols>
    <col min="1" max="1" width="32.83203125" customWidth="1"/>
    <col min="2" max="4" width="18.83203125" customWidth="1"/>
    <col min="5" max="12" width="18.83203125" hidden="1" customWidth="1"/>
    <col min="13" max="13" width="18.83203125" customWidth="1"/>
  </cols>
  <sheetData>
    <row r="1" spans="1:13" ht="22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2" customHeight="1">
      <c r="A2" s="18" t="s">
        <v>109</v>
      </c>
      <c r="B2" s="13"/>
      <c r="C2" s="13"/>
      <c r="D2" s="13"/>
      <c r="E2" s="13"/>
      <c r="F2" s="13"/>
      <c r="G2" s="13"/>
      <c r="H2" s="13"/>
      <c r="I2" s="1"/>
      <c r="J2" s="1"/>
      <c r="K2" s="1"/>
      <c r="L2" s="1"/>
      <c r="M2" s="1"/>
    </row>
    <row r="3" spans="1:13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2" customHeight="1">
      <c r="A4" s="1" t="s">
        <v>110</v>
      </c>
      <c r="B4" s="1"/>
      <c r="C4" s="1"/>
      <c r="D4" s="1"/>
      <c r="E4" s="1"/>
      <c r="F4" s="1"/>
      <c r="G4" s="1"/>
      <c r="H4" s="1"/>
      <c r="I4" s="1"/>
      <c r="J4" s="1" t="s">
        <v>26</v>
      </c>
      <c r="K4" s="1"/>
      <c r="L4" s="1"/>
      <c r="M4" s="1"/>
    </row>
    <row r="5" spans="1:13" ht="32" customHeight="1">
      <c r="A5" s="22" t="s">
        <v>27</v>
      </c>
      <c r="B5" s="22" t="s">
        <v>28</v>
      </c>
      <c r="C5" s="22" t="s">
        <v>29</v>
      </c>
      <c r="D5" s="22" t="s">
        <v>30</v>
      </c>
      <c r="E5" s="14" t="s">
        <v>31</v>
      </c>
      <c r="F5" s="14" t="s">
        <v>32</v>
      </c>
      <c r="G5" s="1"/>
      <c r="H5" s="1"/>
      <c r="I5" s="1"/>
      <c r="J5" s="14" t="s">
        <v>33</v>
      </c>
      <c r="K5" s="14" t="s">
        <v>34</v>
      </c>
      <c r="L5" s="14" t="s">
        <v>35</v>
      </c>
      <c r="M5" s="1"/>
    </row>
    <row r="6" spans="1:13" ht="22" customHeight="1">
      <c r="A6" s="34" t="s">
        <v>36</v>
      </c>
      <c r="B6" s="35">
        <v>47</v>
      </c>
      <c r="C6" s="36">
        <v>0.4</v>
      </c>
      <c r="D6" s="37">
        <v>100000</v>
      </c>
      <c r="E6" s="15">
        <v>4700000</v>
      </c>
      <c r="F6" s="15">
        <v>1880000</v>
      </c>
      <c r="G6" s="1"/>
      <c r="H6" s="1"/>
      <c r="I6" s="1"/>
      <c r="J6" s="1">
        <v>47</v>
      </c>
      <c r="K6" s="1">
        <v>0.4</v>
      </c>
      <c r="L6" s="1">
        <v>100000</v>
      </c>
      <c r="M6" s="1"/>
    </row>
    <row r="7" spans="1:13" ht="22" customHeight="1">
      <c r="A7" s="34" t="s">
        <v>37</v>
      </c>
      <c r="B7" s="35">
        <v>144</v>
      </c>
      <c r="C7" s="36">
        <v>0.45</v>
      </c>
      <c r="D7" s="37">
        <v>-40000</v>
      </c>
      <c r="E7" s="15">
        <v>-5760000</v>
      </c>
      <c r="F7" s="15">
        <v>-2592000</v>
      </c>
      <c r="G7" s="1"/>
      <c r="H7" s="1"/>
      <c r="I7" s="1"/>
      <c r="J7" s="1">
        <v>144</v>
      </c>
      <c r="K7" s="1">
        <v>0.45</v>
      </c>
      <c r="L7" s="1">
        <v>-40000</v>
      </c>
      <c r="M7" s="1"/>
    </row>
    <row r="8" spans="1:13" ht="22" customHeight="1">
      <c r="A8" s="34" t="s">
        <v>38</v>
      </c>
      <c r="B8" s="35">
        <v>31</v>
      </c>
      <c r="C8" s="36">
        <v>0.3</v>
      </c>
      <c r="D8" s="37">
        <v>10000</v>
      </c>
      <c r="E8" s="15">
        <v>310000</v>
      </c>
      <c r="F8" s="15">
        <v>92999.999999999985</v>
      </c>
      <c r="G8" s="1"/>
      <c r="H8" s="1"/>
      <c r="I8" s="1"/>
      <c r="J8" s="1">
        <v>31</v>
      </c>
      <c r="K8" s="1">
        <v>0.3</v>
      </c>
      <c r="L8" s="1">
        <v>10000</v>
      </c>
      <c r="M8" s="1"/>
    </row>
    <row r="9" spans="1:13" ht="22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ht="22" customHeight="1">
      <c r="A10" s="1"/>
      <c r="B10" s="1"/>
      <c r="C10" s="1"/>
      <c r="D10" s="1"/>
      <c r="E10" s="1"/>
      <c r="F10" s="1"/>
      <c r="G10" s="1"/>
      <c r="H10" s="1"/>
      <c r="I10" s="1"/>
      <c r="J10" s="1" t="s">
        <v>39</v>
      </c>
      <c r="K10" s="1"/>
      <c r="L10" s="1"/>
      <c r="M10" s="1"/>
    </row>
    <row r="11" spans="1:13" ht="22" customHeight="1">
      <c r="A11" s="34" t="s">
        <v>40</v>
      </c>
      <c r="B11" s="38">
        <v>3.968253968253968E-3</v>
      </c>
      <c r="C11" s="1"/>
      <c r="D11" s="1"/>
      <c r="E11" s="1"/>
      <c r="F11" s="1"/>
      <c r="G11" s="1"/>
      <c r="H11" s="1"/>
      <c r="I11" s="1"/>
      <c r="J11" s="1">
        <v>3.968253968253968E-3</v>
      </c>
      <c r="K11" s="1"/>
      <c r="L11" s="1"/>
      <c r="M11" s="1"/>
    </row>
    <row r="12" spans="1:13" ht="22" customHeight="1">
      <c r="A12" s="34" t="s">
        <v>41</v>
      </c>
      <c r="B12" s="36">
        <v>0.01</v>
      </c>
      <c r="C12" s="1"/>
      <c r="D12" s="1"/>
      <c r="E12" s="1"/>
      <c r="F12" s="1"/>
      <c r="G12" s="1"/>
      <c r="H12" s="1"/>
      <c r="I12" s="1"/>
      <c r="J12" s="1">
        <v>0.01</v>
      </c>
      <c r="K12" s="1"/>
      <c r="L12" s="1"/>
      <c r="M12" s="1"/>
    </row>
    <row r="13" spans="1:13" ht="22" customHeight="1">
      <c r="A13" s="34" t="s">
        <v>42</v>
      </c>
      <c r="B13" s="39">
        <v>20</v>
      </c>
      <c r="C13" s="1"/>
      <c r="D13" s="1"/>
      <c r="E13" s="1"/>
      <c r="F13" s="1"/>
      <c r="G13" s="1"/>
      <c r="H13" s="1"/>
      <c r="I13" s="1"/>
      <c r="J13" s="1">
        <v>20</v>
      </c>
      <c r="K13" s="1"/>
      <c r="L13" s="1"/>
      <c r="M13" s="1"/>
    </row>
    <row r="14" spans="1:13" ht="22" customHeight="1">
      <c r="A14" s="34" t="s">
        <v>43</v>
      </c>
      <c r="B14" s="39">
        <v>20261019</v>
      </c>
      <c r="C14" s="1"/>
      <c r="D14" s="1"/>
      <c r="E14" s="1"/>
      <c r="F14" s="1"/>
      <c r="G14" s="1"/>
      <c r="H14" s="1"/>
      <c r="I14" s="1"/>
      <c r="J14" s="1">
        <v>20261019</v>
      </c>
      <c r="K14" s="1"/>
      <c r="L14" s="1"/>
      <c r="M14" s="1"/>
    </row>
    <row r="15" spans="1:13" ht="22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22" customHeight="1">
      <c r="A16" s="1" t="s">
        <v>111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22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22" customHeight="1">
      <c r="A18" s="40" t="s">
        <v>44</v>
      </c>
      <c r="B18" s="40" t="s">
        <v>36</v>
      </c>
      <c r="C18" s="40" t="s">
        <v>37</v>
      </c>
      <c r="D18" s="40" t="s">
        <v>38</v>
      </c>
      <c r="E18" s="1"/>
      <c r="F18" s="1"/>
      <c r="G18" s="1"/>
      <c r="H18" s="1"/>
      <c r="I18" s="1"/>
      <c r="J18" s="1" t="s">
        <v>45</v>
      </c>
      <c r="K18" s="1"/>
      <c r="L18" s="1"/>
      <c r="M18" s="1"/>
    </row>
    <row r="19" spans="1:13" ht="22" customHeight="1">
      <c r="A19" s="34" t="s">
        <v>36</v>
      </c>
      <c r="B19" s="35">
        <v>1</v>
      </c>
      <c r="C19" s="35">
        <v>0.6</v>
      </c>
      <c r="D19" s="35">
        <v>0.2</v>
      </c>
      <c r="E19" s="1"/>
      <c r="F19" s="1"/>
      <c r="G19" s="1"/>
      <c r="H19" s="1"/>
      <c r="I19" s="1"/>
      <c r="J19" s="1">
        <v>1</v>
      </c>
      <c r="K19" s="1">
        <v>0.6</v>
      </c>
      <c r="L19" s="1">
        <v>0.2</v>
      </c>
      <c r="M19" s="1"/>
    </row>
    <row r="20" spans="1:13" ht="22" customHeight="1">
      <c r="A20" s="34" t="s">
        <v>37</v>
      </c>
      <c r="B20" s="35">
        <v>0.6</v>
      </c>
      <c r="C20" s="35">
        <v>1</v>
      </c>
      <c r="D20" s="35">
        <v>0.4</v>
      </c>
      <c r="E20" s="1"/>
      <c r="F20" s="1"/>
      <c r="G20" s="1"/>
      <c r="H20" s="1"/>
      <c r="I20" s="1"/>
      <c r="J20" s="1">
        <v>0.6</v>
      </c>
      <c r="K20" s="1">
        <v>1</v>
      </c>
      <c r="L20" s="1">
        <v>0.4</v>
      </c>
      <c r="M20" s="1"/>
    </row>
    <row r="21" spans="1:13" ht="22" customHeight="1">
      <c r="A21" s="34" t="s">
        <v>38</v>
      </c>
      <c r="B21" s="35">
        <v>0.2</v>
      </c>
      <c r="C21" s="35">
        <v>0.4</v>
      </c>
      <c r="D21" s="35">
        <v>1</v>
      </c>
      <c r="E21" s="1"/>
      <c r="F21" s="1"/>
      <c r="G21" s="1"/>
      <c r="H21" s="1"/>
      <c r="I21" s="1"/>
      <c r="J21" s="1">
        <v>0.2</v>
      </c>
      <c r="K21" s="1">
        <v>0.4</v>
      </c>
      <c r="L21" s="1">
        <v>1</v>
      </c>
      <c r="M21" s="1"/>
    </row>
    <row r="22" spans="1:13" ht="22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22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22" customHeight="1">
      <c r="A24" s="41" t="s">
        <v>46</v>
      </c>
      <c r="B24" s="41" t="s">
        <v>36</v>
      </c>
      <c r="C24" s="41" t="s">
        <v>37</v>
      </c>
      <c r="D24" s="41" t="s">
        <v>38</v>
      </c>
      <c r="E24" s="1"/>
      <c r="F24" s="1" t="s">
        <v>47</v>
      </c>
      <c r="G24" s="1"/>
      <c r="H24" s="1"/>
      <c r="I24" s="1"/>
      <c r="J24" s="1"/>
      <c r="K24" s="1"/>
      <c r="L24" s="1"/>
      <c r="M24" s="1"/>
    </row>
    <row r="25" spans="1:13" ht="22" customHeight="1">
      <c r="A25" s="34" t="s">
        <v>36</v>
      </c>
      <c r="B25" s="42">
        <v>1</v>
      </c>
      <c r="C25" s="42">
        <v>0</v>
      </c>
      <c r="D25" s="42">
        <v>0</v>
      </c>
      <c r="E25" s="1"/>
      <c r="F25" s="1"/>
      <c r="G25" s="3">
        <v>14025396825.396824</v>
      </c>
      <c r="H25" s="3">
        <v>-11602285714.285713</v>
      </c>
      <c r="I25" s="3">
        <v>138761904.76190472</v>
      </c>
      <c r="J25" s="1"/>
      <c r="K25" s="1"/>
      <c r="L25" s="1"/>
      <c r="M25" s="1"/>
    </row>
    <row r="26" spans="1:13" ht="22" customHeight="1">
      <c r="A26" s="34" t="s">
        <v>37</v>
      </c>
      <c r="B26" s="42">
        <v>0.6</v>
      </c>
      <c r="C26" s="42">
        <v>0.8</v>
      </c>
      <c r="D26" s="42">
        <v>0</v>
      </c>
      <c r="E26" s="1"/>
      <c r="F26" s="1"/>
      <c r="G26" s="3">
        <v>-11602285714.285713</v>
      </c>
      <c r="H26" s="3">
        <v>26660571428.571426</v>
      </c>
      <c r="I26" s="3">
        <v>-382628571.42857134</v>
      </c>
      <c r="J26" s="1"/>
      <c r="K26" s="1"/>
      <c r="L26" s="1"/>
      <c r="M26" s="1"/>
    </row>
    <row r="27" spans="1:13" ht="22" customHeight="1">
      <c r="A27" s="34" t="s">
        <v>38</v>
      </c>
      <c r="B27" s="42">
        <v>0.2</v>
      </c>
      <c r="C27" s="42">
        <v>0.35000000000000003</v>
      </c>
      <c r="D27" s="42">
        <v>0.91515026088615625</v>
      </c>
      <c r="E27" s="1"/>
      <c r="F27" s="1"/>
      <c r="G27" s="3">
        <v>138761904.76190472</v>
      </c>
      <c r="H27" s="3">
        <v>-382628571.42857134</v>
      </c>
      <c r="I27" s="3">
        <v>34321428.57142856</v>
      </c>
      <c r="J27" s="1"/>
      <c r="K27" s="1"/>
      <c r="L27" s="1"/>
      <c r="M27" s="1"/>
    </row>
    <row r="28" spans="1:13" ht="22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2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2" hidden="1" customHeight="1">
      <c r="A30" s="1" t="s">
        <v>48</v>
      </c>
      <c r="B30" s="15">
        <v>-750000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2" hidden="1" customHeight="1">
      <c r="A31" s="1" t="s">
        <v>49</v>
      </c>
      <c r="B31" s="15">
        <v>17027984920.634922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2" hidden="1" customHeight="1">
      <c r="A32" s="1" t="s">
        <v>50</v>
      </c>
      <c r="B32" s="15">
        <v>130491.3212464144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t="22" hidden="1" customHeight="1">
      <c r="A33" s="1" t="s">
        <v>51</v>
      </c>
      <c r="B33" s="15">
        <v>-303568.20776237652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t="22" hidden="1" customHeight="1">
      <c r="A34" s="1" t="s">
        <v>52</v>
      </c>
      <c r="B34" s="7">
        <v>-2.3263478740408408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ht="22" hidden="1" customHeight="1">
      <c r="A35" s="1" t="s">
        <v>53</v>
      </c>
      <c r="B35" s="8">
        <v>2.0424455779039344E-7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ht="22" hidden="1" customHeight="1">
      <c r="A36" s="1" t="s">
        <v>54</v>
      </c>
      <c r="B36" s="8">
        <v>237319928005.25391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ht="22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ht="22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ht="22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ht="22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ht="22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ht="2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ht="2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ht="2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t="2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t="2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ht="2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t="2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t="2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ht="2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0"/>
  <sheetViews>
    <sheetView showGridLines="0" workbookViewId="0"/>
  </sheetViews>
  <sheetFormatPr baseColWidth="10" defaultColWidth="8.83203125" defaultRowHeight="14"/>
  <cols>
    <col min="1" max="1" width="40.83203125" customWidth="1"/>
    <col min="2" max="2" width="24.83203125" customWidth="1"/>
    <col min="3" max="3" width="25.83203125" customWidth="1"/>
    <col min="4" max="4" width="66.83203125" customWidth="1"/>
    <col min="5" max="13" width="18.83203125" customWidth="1"/>
  </cols>
  <sheetData>
    <row r="1" spans="1:13" ht="22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2" customHeight="1">
      <c r="A2" s="2" t="s">
        <v>64</v>
      </c>
      <c r="B2" s="13"/>
      <c r="C2" s="13"/>
      <c r="D2" s="13"/>
      <c r="E2" s="13"/>
      <c r="F2" s="13"/>
      <c r="G2" s="13"/>
      <c r="H2" s="13"/>
      <c r="I2" s="1"/>
      <c r="J2" s="1"/>
      <c r="K2" s="1"/>
      <c r="L2" s="1"/>
      <c r="M2" s="1"/>
    </row>
    <row r="3" spans="1:13" ht="2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2" customHeight="1">
      <c r="A4" s="1" t="s">
        <v>65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32" customHeight="1">
      <c r="A5" s="22" t="s">
        <v>66</v>
      </c>
      <c r="B5" s="22" t="s">
        <v>67</v>
      </c>
      <c r="C5" s="22" t="s">
        <v>68</v>
      </c>
      <c r="D5" s="22" t="s">
        <v>69</v>
      </c>
      <c r="E5" s="1"/>
      <c r="F5" s="1"/>
      <c r="G5" s="1"/>
      <c r="H5" s="1"/>
      <c r="I5" s="1"/>
      <c r="J5" s="1"/>
      <c r="K5" s="1"/>
      <c r="L5" s="1"/>
      <c r="M5" s="1"/>
    </row>
    <row r="6" spans="1:13" ht="22" customHeight="1">
      <c r="A6" s="34" t="s">
        <v>70</v>
      </c>
      <c r="B6" s="43">
        <v>2.2204460492503131E-16</v>
      </c>
      <c r="C6" s="44" t="s">
        <v>71</v>
      </c>
      <c r="D6" s="34" t="s">
        <v>72</v>
      </c>
      <c r="E6" s="1"/>
      <c r="F6" s="1"/>
      <c r="G6" s="1"/>
      <c r="H6" s="1"/>
      <c r="I6" s="1"/>
      <c r="J6" s="1"/>
      <c r="K6" s="1"/>
      <c r="L6" s="1"/>
      <c r="M6" s="1"/>
    </row>
    <row r="7" spans="1:13" ht="22" customHeight="1">
      <c r="A7" s="34" t="s">
        <v>73</v>
      </c>
      <c r="B7" s="34">
        <v>1043618065</v>
      </c>
      <c r="C7" s="44">
        <v>1043618065</v>
      </c>
      <c r="D7" s="34" t="s">
        <v>74</v>
      </c>
      <c r="E7" s="1"/>
      <c r="F7" s="1"/>
      <c r="G7" s="1"/>
      <c r="H7" s="1"/>
      <c r="I7" s="1"/>
      <c r="J7" s="1"/>
      <c r="K7" s="1"/>
      <c r="L7" s="1"/>
      <c r="M7" s="1"/>
    </row>
    <row r="8" spans="1:13" ht="22" customHeight="1">
      <c r="A8" s="34" t="s">
        <v>75</v>
      </c>
      <c r="B8" s="34" t="b">
        <v>1</v>
      </c>
      <c r="C8" s="45" t="b">
        <v>1</v>
      </c>
      <c r="D8" s="34" t="s">
        <v>76</v>
      </c>
      <c r="E8" s="1"/>
      <c r="F8" s="1"/>
      <c r="G8" s="1"/>
      <c r="H8" s="1"/>
      <c r="I8" s="1"/>
      <c r="J8" s="1"/>
      <c r="K8" s="1"/>
      <c r="L8" s="1"/>
      <c r="M8" s="1"/>
    </row>
    <row r="9" spans="1:13" ht="22" customHeight="1">
      <c r="A9" s="34" t="s">
        <v>77</v>
      </c>
      <c r="B9" s="43">
        <v>1.1596057447604835E-11</v>
      </c>
      <c r="C9" s="44" t="s">
        <v>78</v>
      </c>
      <c r="D9" s="34" t="s">
        <v>79</v>
      </c>
      <c r="E9" s="1"/>
      <c r="F9" s="1"/>
      <c r="G9" s="1"/>
      <c r="H9" s="1"/>
      <c r="I9" s="1"/>
      <c r="J9" s="1"/>
      <c r="K9" s="1"/>
      <c r="L9" s="1"/>
      <c r="M9" s="1"/>
    </row>
    <row r="10" spans="1:13" ht="22" customHeight="1">
      <c r="A10" s="34" t="s">
        <v>80</v>
      </c>
      <c r="B10" s="43">
        <v>3.092281986027956E-11</v>
      </c>
      <c r="C10" s="44" t="s">
        <v>81</v>
      </c>
      <c r="D10" s="34" t="s">
        <v>79</v>
      </c>
      <c r="E10" s="1"/>
      <c r="F10" s="1"/>
      <c r="G10" s="1"/>
      <c r="H10" s="1"/>
      <c r="I10" s="1"/>
      <c r="J10" s="1"/>
      <c r="K10" s="1"/>
      <c r="L10" s="1"/>
      <c r="M10" s="1"/>
    </row>
    <row r="11" spans="1:13" ht="22" customHeight="1">
      <c r="A11" s="34" t="s">
        <v>82</v>
      </c>
      <c r="B11" s="34" t="b">
        <v>1</v>
      </c>
      <c r="C11" s="45" t="b">
        <v>1</v>
      </c>
      <c r="D11" s="34" t="s">
        <v>83</v>
      </c>
      <c r="E11" s="1"/>
      <c r="F11" s="1"/>
      <c r="G11" s="1"/>
      <c r="H11" s="1"/>
      <c r="I11" s="1"/>
      <c r="J11" s="1"/>
      <c r="K11" s="1"/>
      <c r="L11" s="1"/>
      <c r="M11" s="1"/>
    </row>
    <row r="12" spans="1:13" ht="22" customHeight="1">
      <c r="A12" s="34" t="s">
        <v>84</v>
      </c>
      <c r="B12" s="34" t="b">
        <v>1</v>
      </c>
      <c r="C12" s="45" t="b">
        <v>1</v>
      </c>
      <c r="D12" s="34" t="s">
        <v>85</v>
      </c>
      <c r="E12" s="1"/>
      <c r="F12" s="1"/>
      <c r="G12" s="1"/>
      <c r="H12" s="1"/>
      <c r="I12" s="1"/>
      <c r="J12" s="1"/>
      <c r="K12" s="1"/>
      <c r="L12" s="1"/>
      <c r="M12" s="1"/>
    </row>
    <row r="13" spans="1:13" ht="22" customHeight="1">
      <c r="A13" s="34" t="s">
        <v>86</v>
      </c>
      <c r="B13" s="34">
        <v>10</v>
      </c>
      <c r="C13" s="44">
        <v>10</v>
      </c>
      <c r="D13" s="34" t="s">
        <v>87</v>
      </c>
      <c r="E13" s="1"/>
      <c r="F13" s="1"/>
      <c r="G13" s="1"/>
      <c r="H13" s="1"/>
      <c r="I13" s="1"/>
      <c r="J13" s="1"/>
      <c r="K13" s="1"/>
      <c r="L13" s="1"/>
      <c r="M13" s="1"/>
    </row>
    <row r="14" spans="1:13" ht="22" customHeight="1">
      <c r="A14" s="34" t="s">
        <v>88</v>
      </c>
      <c r="B14" s="46">
        <v>-4.9280041562515149E-3</v>
      </c>
      <c r="C14" s="44">
        <v>0</v>
      </c>
      <c r="D14" s="34" t="s">
        <v>89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ht="22" customHeight="1">
      <c r="A15" s="34" t="s">
        <v>90</v>
      </c>
      <c r="B15" s="46">
        <v>1.0046536630640324</v>
      </c>
      <c r="C15" s="44">
        <v>1</v>
      </c>
      <c r="D15" s="34" t="s">
        <v>89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ht="22" customHeight="1">
      <c r="A16" s="1"/>
      <c r="B16" s="1"/>
      <c r="C16" s="12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22" customHeight="1">
      <c r="A17" s="1" t="s">
        <v>91</v>
      </c>
      <c r="B17" s="1" t="s">
        <v>92</v>
      </c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22" customHeight="1">
      <c r="A18" s="1"/>
      <c r="B18" s="1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22" customHeight="1">
      <c r="A19" s="34" t="s">
        <v>93</v>
      </c>
      <c r="B19" s="34" t="b">
        <v>1</v>
      </c>
      <c r="C19" s="44" t="s">
        <v>94</v>
      </c>
      <c r="D19" s="34" t="s">
        <v>95</v>
      </c>
      <c r="E19" s="1"/>
      <c r="F19" s="1"/>
      <c r="G19" s="1"/>
      <c r="H19" s="1"/>
      <c r="I19" s="1"/>
      <c r="J19" s="1"/>
      <c r="K19" s="1"/>
      <c r="L19" s="1"/>
      <c r="M19" s="1"/>
    </row>
    <row r="20" spans="1:13" ht="22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22" customHeight="1">
      <c r="A21" s="1" t="s">
        <v>96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2" customHeight="1">
      <c r="A22" s="1" t="s">
        <v>97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32" customHeight="1">
      <c r="A23" s="22" t="s">
        <v>27</v>
      </c>
      <c r="B23" s="22" t="s">
        <v>36</v>
      </c>
      <c r="C23" s="22" t="s">
        <v>37</v>
      </c>
      <c r="D23" s="22" t="s">
        <v>38</v>
      </c>
      <c r="E23" s="1"/>
      <c r="F23" s="1"/>
      <c r="G23" s="1"/>
      <c r="H23" s="1"/>
      <c r="I23" s="1"/>
      <c r="J23" s="1"/>
      <c r="K23" s="1"/>
      <c r="L23" s="1"/>
      <c r="M23" s="1"/>
    </row>
    <row r="24" spans="1:13" ht="22" customHeight="1">
      <c r="A24" s="34" t="s">
        <v>36</v>
      </c>
      <c r="B24" s="47">
        <v>1</v>
      </c>
      <c r="C24" s="47">
        <v>0.60117189230724555</v>
      </c>
      <c r="D24" s="47">
        <v>0.19847445951325998</v>
      </c>
      <c r="E24" s="1"/>
      <c r="F24" s="1"/>
      <c r="G24" s="1"/>
      <c r="H24" s="1"/>
      <c r="I24" s="1"/>
      <c r="J24" s="1"/>
      <c r="K24" s="1"/>
      <c r="L24" s="1"/>
      <c r="M24" s="1"/>
    </row>
    <row r="25" spans="1:13" ht="22" customHeight="1">
      <c r="A25" s="34" t="s">
        <v>37</v>
      </c>
      <c r="B25" s="47">
        <v>0.60117189230724555</v>
      </c>
      <c r="C25" s="47">
        <v>1</v>
      </c>
      <c r="D25" s="47">
        <v>0.39799567532827879</v>
      </c>
      <c r="E25" s="1"/>
      <c r="F25" s="1"/>
      <c r="G25" s="1"/>
      <c r="H25" s="1"/>
      <c r="I25" s="1"/>
      <c r="J25" s="1"/>
      <c r="K25" s="1"/>
      <c r="L25" s="1"/>
      <c r="M25" s="1"/>
    </row>
    <row r="26" spans="1:13" ht="22" customHeight="1">
      <c r="A26" s="34" t="s">
        <v>38</v>
      </c>
      <c r="B26" s="47">
        <v>0.19847445951325998</v>
      </c>
      <c r="C26" s="47">
        <v>0.39799567532827879</v>
      </c>
      <c r="D26" s="47">
        <v>1</v>
      </c>
      <c r="E26" s="1"/>
      <c r="F26" s="1"/>
      <c r="G26" s="1"/>
      <c r="H26" s="1"/>
      <c r="I26" s="1"/>
      <c r="J26" s="1"/>
      <c r="K26" s="1"/>
      <c r="L26" s="1"/>
      <c r="M26" s="1"/>
    </row>
    <row r="27" spans="1:13" ht="22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2" customHeight="1">
      <c r="A28" s="1" t="s">
        <v>98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2" customHeight="1">
      <c r="A29" s="1" t="s">
        <v>99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2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2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2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t="22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ht="22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ht="22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ht="22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ht="22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ht="22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ht="22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ht="22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ht="22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ht="2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ht="2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ht="2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ht="2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ht="2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ht="2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ht="2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ht="2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ht="2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</vt:lpstr>
      <vt:lpstr>Runs</vt:lpstr>
      <vt:lpstr>Inputs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Victor Chen</cp:lastModifiedBy>
  <dcterms:modified xsi:type="dcterms:W3CDTF">2026-10-19T21:46:51Z</dcterms:modified>
</cp:coreProperties>
</file>