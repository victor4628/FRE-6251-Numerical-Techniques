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FRE-6251-Numerical-Techniques\Week2\outputs\stochastic-processes\"/>
    </mc:Choice>
  </mc:AlternateContent>
  <xr:revisionPtr revIDLastSave="0" documentId="8_{0814BB34-5F26-4A14-9836-E7329E3A3915}" xr6:coauthVersionLast="47" xr6:coauthVersionMax="47" xr10:uidLastSave="{00000000-0000-0000-0000-000000000000}"/>
  <bookViews>
    <workbookView xWindow="4310" yWindow="1510" windowWidth="32720" windowHeight="19020" activeTab="2" xr2:uid="{00000000-000D-0000-FFFF-FFFF00000000}"/>
  </bookViews>
  <sheets>
    <sheet name="Ornstein Uhlenbeck Process" sheetId="2" r:id="rId1"/>
    <sheet name="Chart1" sheetId="3" r:id="rId2"/>
    <sheet name="Sheet1" sheetId="1" r:id="rId3"/>
  </sheets>
  <definedNames>
    <definedName name="a">Sheet1!$B$3</definedName>
    <definedName name="dt">Sheet1!$B$4</definedName>
    <definedName name="lambda">Sheet1!$B$2</definedName>
    <definedName name="mu">Sheet1!$G$1</definedName>
    <definedName name="sigma">Sheet1!$B$1</definedName>
    <definedName name="XStart">Sheet1!$G$2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D13" i="1"/>
  <c r="I13" i="1" s="1"/>
  <c r="J13" i="1" s="1"/>
  <c r="D14" i="1"/>
  <c r="I14" i="1" s="1"/>
  <c r="J14" i="1" s="1"/>
  <c r="D15" i="1"/>
  <c r="I15" i="1" s="1"/>
  <c r="J15" i="1" s="1"/>
  <c r="D16" i="1"/>
  <c r="I16" i="1" s="1"/>
  <c r="J16" i="1" s="1"/>
  <c r="D17" i="1"/>
  <c r="I17" i="1" s="1"/>
  <c r="J17" i="1" s="1"/>
  <c r="D18" i="1"/>
  <c r="I18" i="1" s="1"/>
  <c r="J18" i="1" s="1"/>
  <c r="D19" i="1"/>
  <c r="I19" i="1" s="1"/>
  <c r="J19" i="1" s="1"/>
  <c r="D20" i="1"/>
  <c r="I20" i="1" s="1"/>
  <c r="J20" i="1" s="1"/>
  <c r="D21" i="1"/>
  <c r="I21" i="1" s="1"/>
  <c r="J21" i="1" s="1"/>
  <c r="D22" i="1"/>
  <c r="I22" i="1" s="1"/>
  <c r="J22" i="1" s="1"/>
  <c r="D23" i="1"/>
  <c r="I23" i="1" s="1"/>
  <c r="J23" i="1" s="1"/>
  <c r="D24" i="1"/>
  <c r="I24" i="1" s="1"/>
  <c r="J24" i="1" s="1"/>
  <c r="D25" i="1"/>
  <c r="I25" i="1" s="1"/>
  <c r="J25" i="1" s="1"/>
  <c r="D26" i="1"/>
  <c r="I26" i="1" s="1"/>
  <c r="J26" i="1" s="1"/>
  <c r="D27" i="1"/>
  <c r="I27" i="1" s="1"/>
  <c r="J27" i="1" s="1"/>
  <c r="D28" i="1"/>
  <c r="I28" i="1" s="1"/>
  <c r="J28" i="1" s="1"/>
  <c r="D29" i="1"/>
  <c r="I29" i="1" s="1"/>
  <c r="J29" i="1" s="1"/>
  <c r="D30" i="1"/>
  <c r="I30" i="1" s="1"/>
  <c r="J30" i="1" s="1"/>
  <c r="D31" i="1"/>
  <c r="I31" i="1" s="1"/>
  <c r="J31" i="1" s="1"/>
  <c r="D32" i="1"/>
  <c r="I32" i="1" s="1"/>
  <c r="J32" i="1" s="1"/>
  <c r="D33" i="1"/>
  <c r="I33" i="1" s="1"/>
  <c r="J33" i="1" s="1"/>
  <c r="D34" i="1"/>
  <c r="I34" i="1" s="1"/>
  <c r="J34" i="1" s="1"/>
  <c r="D35" i="1"/>
  <c r="I35" i="1" s="1"/>
  <c r="J35" i="1" s="1"/>
  <c r="D36" i="1"/>
  <c r="I36" i="1" s="1"/>
  <c r="J36" i="1" s="1"/>
  <c r="D37" i="1"/>
  <c r="I37" i="1" s="1"/>
  <c r="J37" i="1" s="1"/>
  <c r="D38" i="1"/>
  <c r="I38" i="1" s="1"/>
  <c r="J38" i="1" s="1"/>
  <c r="D39" i="1"/>
  <c r="I39" i="1" s="1"/>
  <c r="J39" i="1" s="1"/>
  <c r="D40" i="1"/>
  <c r="I40" i="1" s="1"/>
  <c r="J40" i="1" s="1"/>
  <c r="D41" i="1"/>
  <c r="I41" i="1" s="1"/>
  <c r="J41" i="1" s="1"/>
  <c r="D42" i="1"/>
  <c r="I42" i="1" s="1"/>
  <c r="J42" i="1" s="1"/>
  <c r="D43" i="1"/>
  <c r="I43" i="1" s="1"/>
  <c r="J43" i="1" s="1"/>
  <c r="D44" i="1"/>
  <c r="I44" i="1" s="1"/>
  <c r="J44" i="1" s="1"/>
  <c r="D45" i="1"/>
  <c r="I45" i="1" s="1"/>
  <c r="J45" i="1" s="1"/>
  <c r="D46" i="1"/>
  <c r="I46" i="1" s="1"/>
  <c r="J46" i="1" s="1"/>
  <c r="D47" i="1"/>
  <c r="I47" i="1" s="1"/>
  <c r="J47" i="1" s="1"/>
  <c r="D48" i="1"/>
  <c r="I48" i="1" s="1"/>
  <c r="J48" i="1" s="1"/>
  <c r="D49" i="1"/>
  <c r="I49" i="1" s="1"/>
  <c r="J49" i="1" s="1"/>
  <c r="D50" i="1"/>
  <c r="I50" i="1" s="1"/>
  <c r="J50" i="1" s="1"/>
  <c r="D51" i="1"/>
  <c r="I51" i="1" s="1"/>
  <c r="J51" i="1" s="1"/>
  <c r="D52" i="1"/>
  <c r="I52" i="1" s="1"/>
  <c r="J52" i="1" s="1"/>
  <c r="D53" i="1"/>
  <c r="I53" i="1" s="1"/>
  <c r="J53" i="1" s="1"/>
  <c r="D54" i="1"/>
  <c r="I54" i="1" s="1"/>
  <c r="J54" i="1" s="1"/>
  <c r="D55" i="1"/>
  <c r="I55" i="1" s="1"/>
  <c r="J55" i="1" s="1"/>
  <c r="D56" i="1"/>
  <c r="I56" i="1" s="1"/>
  <c r="J56" i="1" s="1"/>
  <c r="D57" i="1"/>
  <c r="I57" i="1" s="1"/>
  <c r="J57" i="1" s="1"/>
  <c r="D58" i="1"/>
  <c r="I58" i="1" s="1"/>
  <c r="J58" i="1" s="1"/>
  <c r="D59" i="1"/>
  <c r="I59" i="1" s="1"/>
  <c r="J59" i="1" s="1"/>
  <c r="D60" i="1"/>
  <c r="I60" i="1" s="1"/>
  <c r="J60" i="1" s="1"/>
  <c r="D61" i="1"/>
  <c r="I61" i="1" s="1"/>
  <c r="J61" i="1" s="1"/>
  <c r="D62" i="1"/>
  <c r="I62" i="1" s="1"/>
  <c r="J62" i="1" s="1"/>
  <c r="D63" i="1"/>
  <c r="I63" i="1" s="1"/>
  <c r="J63" i="1" s="1"/>
  <c r="D64" i="1"/>
  <c r="I64" i="1" s="1"/>
  <c r="J64" i="1" s="1"/>
  <c r="D65" i="1"/>
  <c r="I65" i="1" s="1"/>
  <c r="J65" i="1" s="1"/>
  <c r="D66" i="1"/>
  <c r="I66" i="1" s="1"/>
  <c r="J66" i="1" s="1"/>
  <c r="D67" i="1"/>
  <c r="I67" i="1" s="1"/>
  <c r="J67" i="1" s="1"/>
  <c r="D68" i="1"/>
  <c r="I68" i="1" s="1"/>
  <c r="J68" i="1" s="1"/>
  <c r="D69" i="1"/>
  <c r="I69" i="1" s="1"/>
  <c r="J69" i="1" s="1"/>
  <c r="D70" i="1"/>
  <c r="I70" i="1" s="1"/>
  <c r="J70" i="1" s="1"/>
  <c r="D71" i="1"/>
  <c r="I71" i="1" s="1"/>
  <c r="J71" i="1" s="1"/>
  <c r="D72" i="1"/>
  <c r="I72" i="1" s="1"/>
  <c r="J72" i="1" s="1"/>
  <c r="D73" i="1"/>
  <c r="I73" i="1" s="1"/>
  <c r="J73" i="1" s="1"/>
  <c r="D74" i="1"/>
  <c r="I74" i="1" s="1"/>
  <c r="J74" i="1" s="1"/>
  <c r="D75" i="1"/>
  <c r="I75" i="1" s="1"/>
  <c r="D76" i="1"/>
  <c r="I76" i="1" s="1"/>
  <c r="J76" i="1" s="1"/>
  <c r="D77" i="1"/>
  <c r="I77" i="1" s="1"/>
  <c r="D78" i="1"/>
  <c r="I78" i="1" s="1"/>
  <c r="J78" i="1" s="1"/>
  <c r="D79" i="1"/>
  <c r="I79" i="1" s="1"/>
  <c r="J79" i="1" s="1"/>
  <c r="D80" i="1"/>
  <c r="I80" i="1" s="1"/>
  <c r="J80" i="1" s="1"/>
  <c r="D81" i="1"/>
  <c r="I81" i="1" s="1"/>
  <c r="J81" i="1" s="1"/>
  <c r="D82" i="1"/>
  <c r="I82" i="1" s="1"/>
  <c r="D83" i="1"/>
  <c r="I83" i="1" s="1"/>
  <c r="J83" i="1" s="1"/>
  <c r="D84" i="1"/>
  <c r="I84" i="1" s="1"/>
  <c r="J84" i="1" s="1"/>
  <c r="D85" i="1"/>
  <c r="I85" i="1" s="1"/>
  <c r="J85" i="1" s="1"/>
  <c r="D86" i="1"/>
  <c r="I86" i="1" s="1"/>
  <c r="D87" i="1"/>
  <c r="I87" i="1" s="1"/>
  <c r="J87" i="1" s="1"/>
  <c r="D88" i="1"/>
  <c r="I88" i="1" s="1"/>
  <c r="J88" i="1" s="1"/>
  <c r="D89" i="1"/>
  <c r="I89" i="1" s="1"/>
  <c r="J89" i="1" s="1"/>
  <c r="D90" i="1"/>
  <c r="I90" i="1" s="1"/>
  <c r="D91" i="1"/>
  <c r="I91" i="1" s="1"/>
  <c r="J91" i="1" s="1"/>
  <c r="D92" i="1"/>
  <c r="I92" i="1" s="1"/>
  <c r="J92" i="1" s="1"/>
  <c r="D93" i="1"/>
  <c r="I93" i="1" s="1"/>
  <c r="D94" i="1"/>
  <c r="I94" i="1" s="1"/>
  <c r="D95" i="1"/>
  <c r="I95" i="1" s="1"/>
  <c r="D96" i="1"/>
  <c r="I96" i="1" s="1"/>
  <c r="D97" i="1"/>
  <c r="I97" i="1" s="1"/>
  <c r="J97" i="1" s="1"/>
  <c r="D98" i="1"/>
  <c r="I98" i="1" s="1"/>
  <c r="D99" i="1"/>
  <c r="I99" i="1" s="1"/>
  <c r="D100" i="1"/>
  <c r="I100" i="1" s="1"/>
  <c r="D101" i="1"/>
  <c r="I101" i="1" s="1"/>
  <c r="D102" i="1"/>
  <c r="I102" i="1" s="1"/>
  <c r="D103" i="1"/>
  <c r="I103" i="1" s="1"/>
  <c r="J103" i="1" s="1"/>
  <c r="D104" i="1"/>
  <c r="I104" i="1" s="1"/>
  <c r="J104" i="1" s="1"/>
  <c r="D105" i="1"/>
  <c r="I105" i="1" s="1"/>
  <c r="D106" i="1"/>
  <c r="I106" i="1" s="1"/>
  <c r="J106" i="1" s="1"/>
  <c r="D107" i="1"/>
  <c r="I107" i="1" s="1"/>
  <c r="J107" i="1" s="1"/>
  <c r="D108" i="1"/>
  <c r="I108" i="1" s="1"/>
  <c r="J108" i="1" s="1"/>
  <c r="D109" i="1"/>
  <c r="I109" i="1" s="1"/>
  <c r="J109" i="1" s="1"/>
  <c r="D110" i="1"/>
  <c r="I110" i="1" s="1"/>
  <c r="J110" i="1" s="1"/>
  <c r="D111" i="1"/>
  <c r="I111" i="1" s="1"/>
  <c r="J111" i="1" s="1"/>
  <c r="D112" i="1"/>
  <c r="I112" i="1" s="1"/>
  <c r="J112" i="1" s="1"/>
  <c r="D113" i="1"/>
  <c r="I113" i="1" s="1"/>
  <c r="J113" i="1" s="1"/>
  <c r="D114" i="1"/>
  <c r="I114" i="1" s="1"/>
  <c r="J114" i="1" s="1"/>
  <c r="D115" i="1"/>
  <c r="I115" i="1" s="1"/>
  <c r="D116" i="1"/>
  <c r="I116" i="1" s="1"/>
  <c r="J116" i="1" s="1"/>
  <c r="D117" i="1"/>
  <c r="I117" i="1" s="1"/>
  <c r="D118" i="1"/>
  <c r="I118" i="1" s="1"/>
  <c r="D119" i="1"/>
  <c r="I119" i="1" s="1"/>
  <c r="D120" i="1"/>
  <c r="I120" i="1" s="1"/>
  <c r="J120" i="1" s="1"/>
  <c r="D121" i="1"/>
  <c r="I121" i="1" s="1"/>
  <c r="D122" i="1"/>
  <c r="I122" i="1" s="1"/>
  <c r="J122" i="1" s="1"/>
  <c r="D123" i="1"/>
  <c r="I123" i="1" s="1"/>
  <c r="D124" i="1"/>
  <c r="I124" i="1" s="1"/>
  <c r="D125" i="1"/>
  <c r="I125" i="1" s="1"/>
  <c r="D126" i="1"/>
  <c r="I126" i="1" s="1"/>
  <c r="D127" i="1"/>
  <c r="I127" i="1" s="1"/>
  <c r="D128" i="1"/>
  <c r="I128" i="1" s="1"/>
  <c r="J128" i="1" s="1"/>
  <c r="D129" i="1"/>
  <c r="I129" i="1" s="1"/>
  <c r="J129" i="1" s="1"/>
  <c r="D130" i="1"/>
  <c r="I130" i="1" s="1"/>
  <c r="J130" i="1" s="1"/>
  <c r="D131" i="1"/>
  <c r="I131" i="1" s="1"/>
  <c r="D132" i="1"/>
  <c r="I132" i="1" s="1"/>
  <c r="J132" i="1" s="1"/>
  <c r="D133" i="1"/>
  <c r="I133" i="1" s="1"/>
  <c r="J133" i="1" s="1"/>
  <c r="D134" i="1"/>
  <c r="I134" i="1" s="1"/>
  <c r="J134" i="1" s="1"/>
  <c r="D135" i="1"/>
  <c r="I135" i="1" s="1"/>
  <c r="J135" i="1" s="1"/>
  <c r="D136" i="1"/>
  <c r="I136" i="1" s="1"/>
  <c r="D137" i="1"/>
  <c r="I137" i="1" s="1"/>
  <c r="D138" i="1"/>
  <c r="I138" i="1" s="1"/>
  <c r="D139" i="1"/>
  <c r="I139" i="1" s="1"/>
  <c r="J139" i="1" s="1"/>
  <c r="D140" i="1"/>
  <c r="I140" i="1" s="1"/>
  <c r="J140" i="1" s="1"/>
  <c r="D141" i="1"/>
  <c r="I141" i="1" s="1"/>
  <c r="J141" i="1" s="1"/>
  <c r="D142" i="1"/>
  <c r="I142" i="1" s="1"/>
  <c r="J142" i="1" s="1"/>
  <c r="D143" i="1"/>
  <c r="I143" i="1" s="1"/>
  <c r="J143" i="1" s="1"/>
  <c r="D144" i="1"/>
  <c r="I144" i="1" s="1"/>
  <c r="J144" i="1" s="1"/>
  <c r="D145" i="1"/>
  <c r="I145" i="1" s="1"/>
  <c r="J145" i="1" s="1"/>
  <c r="D146" i="1"/>
  <c r="I146" i="1" s="1"/>
  <c r="J146" i="1" s="1"/>
  <c r="D147" i="1"/>
  <c r="I147" i="1" s="1"/>
  <c r="J147" i="1" s="1"/>
  <c r="D148" i="1"/>
  <c r="I148" i="1" s="1"/>
  <c r="J148" i="1" s="1"/>
  <c r="D149" i="1"/>
  <c r="I149" i="1" s="1"/>
  <c r="J149" i="1" s="1"/>
  <c r="D150" i="1"/>
  <c r="I150" i="1" s="1"/>
  <c r="J150" i="1" s="1"/>
  <c r="D151" i="1"/>
  <c r="I151" i="1" s="1"/>
  <c r="J151" i="1" s="1"/>
  <c r="D152" i="1"/>
  <c r="I152" i="1" s="1"/>
  <c r="J152" i="1" s="1"/>
  <c r="D153" i="1"/>
  <c r="I153" i="1" s="1"/>
  <c r="J153" i="1" s="1"/>
  <c r="D154" i="1"/>
  <c r="I154" i="1" s="1"/>
  <c r="J154" i="1" s="1"/>
  <c r="D155" i="1"/>
  <c r="I155" i="1" s="1"/>
  <c r="J155" i="1" s="1"/>
  <c r="D156" i="1"/>
  <c r="I156" i="1" s="1"/>
  <c r="J156" i="1" s="1"/>
  <c r="D157" i="1"/>
  <c r="I157" i="1" s="1"/>
  <c r="J157" i="1" s="1"/>
  <c r="D158" i="1"/>
  <c r="I158" i="1" s="1"/>
  <c r="J158" i="1" s="1"/>
  <c r="D159" i="1"/>
  <c r="I159" i="1" s="1"/>
  <c r="J159" i="1" s="1"/>
  <c r="D160" i="1"/>
  <c r="I160" i="1" s="1"/>
  <c r="J160" i="1" s="1"/>
  <c r="D161" i="1"/>
  <c r="I161" i="1" s="1"/>
  <c r="J161" i="1" s="1"/>
  <c r="D162" i="1"/>
  <c r="I162" i="1" s="1"/>
  <c r="J162" i="1" s="1"/>
  <c r="D163" i="1"/>
  <c r="I163" i="1" s="1"/>
  <c r="J163" i="1" s="1"/>
  <c r="D164" i="1"/>
  <c r="I164" i="1" s="1"/>
  <c r="J164" i="1" s="1"/>
  <c r="D165" i="1"/>
  <c r="I165" i="1" s="1"/>
  <c r="J165" i="1" s="1"/>
  <c r="D166" i="1"/>
  <c r="I166" i="1" s="1"/>
  <c r="J166" i="1" s="1"/>
  <c r="D167" i="1"/>
  <c r="I167" i="1" s="1"/>
  <c r="J167" i="1" s="1"/>
  <c r="D168" i="1"/>
  <c r="I168" i="1" s="1"/>
  <c r="D169" i="1"/>
  <c r="I169" i="1" s="1"/>
  <c r="J169" i="1" s="1"/>
  <c r="D170" i="1"/>
  <c r="I170" i="1" s="1"/>
  <c r="J170" i="1" s="1"/>
  <c r="D171" i="1"/>
  <c r="I171" i="1" s="1"/>
  <c r="J171" i="1" s="1"/>
  <c r="D172" i="1"/>
  <c r="I172" i="1" s="1"/>
  <c r="J172" i="1" s="1"/>
  <c r="D173" i="1"/>
  <c r="I173" i="1" s="1"/>
  <c r="J173" i="1" s="1"/>
  <c r="D174" i="1"/>
  <c r="I174" i="1" s="1"/>
  <c r="J174" i="1" s="1"/>
  <c r="D175" i="1"/>
  <c r="I175" i="1" s="1"/>
  <c r="J175" i="1" s="1"/>
  <c r="D176" i="1"/>
  <c r="I176" i="1" s="1"/>
  <c r="J176" i="1" s="1"/>
  <c r="D177" i="1"/>
  <c r="I177" i="1" s="1"/>
  <c r="J177" i="1" s="1"/>
  <c r="D178" i="1"/>
  <c r="I178" i="1" s="1"/>
  <c r="J178" i="1" s="1"/>
  <c r="D179" i="1"/>
  <c r="I179" i="1" s="1"/>
  <c r="J179" i="1" s="1"/>
  <c r="D180" i="1"/>
  <c r="I180" i="1" s="1"/>
  <c r="J180" i="1" s="1"/>
  <c r="D181" i="1"/>
  <c r="I181" i="1" s="1"/>
  <c r="J181" i="1" s="1"/>
  <c r="D182" i="1"/>
  <c r="I182" i="1" s="1"/>
  <c r="J182" i="1" s="1"/>
  <c r="D183" i="1"/>
  <c r="I183" i="1" s="1"/>
  <c r="J183" i="1" s="1"/>
  <c r="D184" i="1"/>
  <c r="I184" i="1" s="1"/>
  <c r="J184" i="1" s="1"/>
  <c r="D185" i="1"/>
  <c r="I185" i="1" s="1"/>
  <c r="J185" i="1" s="1"/>
  <c r="D186" i="1"/>
  <c r="I186" i="1" s="1"/>
  <c r="J186" i="1" s="1"/>
  <c r="D187" i="1"/>
  <c r="I187" i="1" s="1"/>
  <c r="J187" i="1" s="1"/>
  <c r="D188" i="1"/>
  <c r="I188" i="1" s="1"/>
  <c r="J188" i="1" s="1"/>
  <c r="D189" i="1"/>
  <c r="I189" i="1" s="1"/>
  <c r="J189" i="1" s="1"/>
  <c r="D190" i="1"/>
  <c r="I190" i="1" s="1"/>
  <c r="J190" i="1" s="1"/>
  <c r="D191" i="1"/>
  <c r="I191" i="1" s="1"/>
  <c r="J191" i="1" s="1"/>
  <c r="D192" i="1"/>
  <c r="I192" i="1" s="1"/>
  <c r="J192" i="1" s="1"/>
  <c r="D193" i="1"/>
  <c r="I193" i="1" s="1"/>
  <c r="J193" i="1" s="1"/>
  <c r="D194" i="1"/>
  <c r="I194" i="1" s="1"/>
  <c r="J194" i="1" s="1"/>
  <c r="D195" i="1"/>
  <c r="I195" i="1" s="1"/>
  <c r="J195" i="1" s="1"/>
  <c r="D196" i="1"/>
  <c r="I196" i="1" s="1"/>
  <c r="J196" i="1" s="1"/>
  <c r="D197" i="1"/>
  <c r="I197" i="1" s="1"/>
  <c r="J197" i="1" s="1"/>
  <c r="D198" i="1"/>
  <c r="I198" i="1" s="1"/>
  <c r="D199" i="1"/>
  <c r="I199" i="1" s="1"/>
  <c r="D200" i="1"/>
  <c r="I200" i="1" s="1"/>
  <c r="J200" i="1" s="1"/>
  <c r="D201" i="1"/>
  <c r="I201" i="1" s="1"/>
  <c r="D202" i="1"/>
  <c r="I202" i="1" s="1"/>
  <c r="J202" i="1" s="1"/>
  <c r="D203" i="1"/>
  <c r="I203" i="1" s="1"/>
  <c r="J203" i="1" s="1"/>
  <c r="D204" i="1"/>
  <c r="I204" i="1" s="1"/>
  <c r="J204" i="1" s="1"/>
  <c r="D205" i="1"/>
  <c r="I205" i="1" s="1"/>
  <c r="J205" i="1" s="1"/>
  <c r="D206" i="1"/>
  <c r="I206" i="1" s="1"/>
  <c r="J206" i="1" s="1"/>
  <c r="D207" i="1"/>
  <c r="I207" i="1" s="1"/>
  <c r="J207" i="1" s="1"/>
  <c r="D208" i="1"/>
  <c r="I208" i="1" s="1"/>
  <c r="J208" i="1" s="1"/>
  <c r="D209" i="1"/>
  <c r="I209" i="1" s="1"/>
  <c r="J209" i="1" s="1"/>
  <c r="D210" i="1"/>
  <c r="I210" i="1" s="1"/>
  <c r="J210" i="1" s="1"/>
  <c r="D211" i="1"/>
  <c r="I211" i="1" s="1"/>
  <c r="J211" i="1" s="1"/>
  <c r="D212" i="1"/>
  <c r="I212" i="1" s="1"/>
  <c r="J212" i="1" s="1"/>
  <c r="D213" i="1"/>
  <c r="I213" i="1" s="1"/>
  <c r="J213" i="1" s="1"/>
  <c r="D214" i="1"/>
  <c r="I214" i="1" s="1"/>
  <c r="J214" i="1" s="1"/>
  <c r="D215" i="1"/>
  <c r="I215" i="1" s="1"/>
  <c r="J215" i="1" s="1"/>
  <c r="D216" i="1"/>
  <c r="I216" i="1" s="1"/>
  <c r="J216" i="1" s="1"/>
  <c r="D217" i="1"/>
  <c r="I217" i="1" s="1"/>
  <c r="J217" i="1" s="1"/>
  <c r="D218" i="1"/>
  <c r="I218" i="1" s="1"/>
  <c r="J218" i="1" s="1"/>
  <c r="D219" i="1"/>
  <c r="I219" i="1" s="1"/>
  <c r="J219" i="1" s="1"/>
  <c r="D220" i="1"/>
  <c r="I220" i="1" s="1"/>
  <c r="J220" i="1" s="1"/>
  <c r="D221" i="1"/>
  <c r="I221" i="1" s="1"/>
  <c r="J221" i="1" s="1"/>
  <c r="D222" i="1"/>
  <c r="I222" i="1" s="1"/>
  <c r="J222" i="1" s="1"/>
  <c r="D223" i="1"/>
  <c r="I223" i="1" s="1"/>
  <c r="J223" i="1" s="1"/>
  <c r="D224" i="1"/>
  <c r="I224" i="1" s="1"/>
  <c r="J224" i="1" s="1"/>
  <c r="D225" i="1"/>
  <c r="I225" i="1" s="1"/>
  <c r="J225" i="1" s="1"/>
  <c r="D226" i="1"/>
  <c r="I226" i="1" s="1"/>
  <c r="D227" i="1"/>
  <c r="I227" i="1" s="1"/>
  <c r="J227" i="1" s="1"/>
  <c r="D228" i="1"/>
  <c r="I228" i="1" s="1"/>
  <c r="D229" i="1"/>
  <c r="I229" i="1" s="1"/>
  <c r="D230" i="1"/>
  <c r="I230" i="1" s="1"/>
  <c r="D231" i="1"/>
  <c r="I231" i="1" s="1"/>
  <c r="D232" i="1"/>
  <c r="I232" i="1" s="1"/>
  <c r="D233" i="1"/>
  <c r="I233" i="1" s="1"/>
  <c r="J233" i="1" s="1"/>
  <c r="D234" i="1"/>
  <c r="I234" i="1" s="1"/>
  <c r="J234" i="1" s="1"/>
  <c r="D235" i="1"/>
  <c r="I235" i="1" s="1"/>
  <c r="J235" i="1" s="1"/>
  <c r="D236" i="1"/>
  <c r="I236" i="1" s="1"/>
  <c r="J236" i="1" s="1"/>
  <c r="D237" i="1"/>
  <c r="I237" i="1" s="1"/>
  <c r="J237" i="1" s="1"/>
  <c r="D238" i="1"/>
  <c r="I238" i="1" s="1"/>
  <c r="J238" i="1" s="1"/>
  <c r="D239" i="1"/>
  <c r="I239" i="1" s="1"/>
  <c r="J239" i="1" s="1"/>
  <c r="D240" i="1"/>
  <c r="I240" i="1" s="1"/>
  <c r="J240" i="1" s="1"/>
  <c r="D241" i="1"/>
  <c r="I241" i="1" s="1"/>
  <c r="J241" i="1" s="1"/>
  <c r="D242" i="1"/>
  <c r="I242" i="1" s="1"/>
  <c r="J242" i="1" s="1"/>
  <c r="D243" i="1"/>
  <c r="I243" i="1" s="1"/>
  <c r="J243" i="1" s="1"/>
  <c r="D244" i="1"/>
  <c r="I244" i="1" s="1"/>
  <c r="J244" i="1" s="1"/>
  <c r="D245" i="1"/>
  <c r="I245" i="1" s="1"/>
  <c r="J245" i="1" s="1"/>
  <c r="D246" i="1"/>
  <c r="I246" i="1" s="1"/>
  <c r="J246" i="1" s="1"/>
  <c r="D247" i="1"/>
  <c r="I247" i="1" s="1"/>
  <c r="J247" i="1" s="1"/>
  <c r="D248" i="1"/>
  <c r="I248" i="1" s="1"/>
  <c r="J248" i="1" s="1"/>
  <c r="D249" i="1"/>
  <c r="I249" i="1" s="1"/>
  <c r="J249" i="1" s="1"/>
  <c r="D250" i="1"/>
  <c r="I250" i="1" s="1"/>
  <c r="J250" i="1" s="1"/>
  <c r="D251" i="1"/>
  <c r="I251" i="1" s="1"/>
  <c r="J251" i="1" s="1"/>
  <c r="D252" i="1"/>
  <c r="I252" i="1" s="1"/>
  <c r="J252" i="1" s="1"/>
  <c r="D253" i="1"/>
  <c r="I253" i="1" s="1"/>
  <c r="J253" i="1" s="1"/>
  <c r="D254" i="1"/>
  <c r="I254" i="1" s="1"/>
  <c r="J254" i="1" s="1"/>
  <c r="D255" i="1"/>
  <c r="I255" i="1" s="1"/>
  <c r="J255" i="1" s="1"/>
  <c r="D256" i="1"/>
  <c r="I256" i="1" s="1"/>
  <c r="J256" i="1" s="1"/>
  <c r="D257" i="1"/>
  <c r="I257" i="1" s="1"/>
  <c r="J257" i="1" s="1"/>
  <c r="D258" i="1"/>
  <c r="I258" i="1" s="1"/>
  <c r="J258" i="1" s="1"/>
  <c r="D259" i="1"/>
  <c r="I259" i="1" s="1"/>
  <c r="J259" i="1" s="1"/>
  <c r="D260" i="1"/>
  <c r="I260" i="1" s="1"/>
  <c r="J260" i="1" s="1"/>
  <c r="D261" i="1"/>
  <c r="I261" i="1" s="1"/>
  <c r="D262" i="1"/>
  <c r="I262" i="1" s="1"/>
  <c r="D263" i="1"/>
  <c r="I263" i="1" s="1"/>
  <c r="J263" i="1" s="1"/>
  <c r="D264" i="1"/>
  <c r="I264" i="1" s="1"/>
  <c r="J264" i="1" s="1"/>
  <c r="D265" i="1"/>
  <c r="I265" i="1" s="1"/>
  <c r="J265" i="1" s="1"/>
  <c r="D266" i="1"/>
  <c r="I266" i="1" s="1"/>
  <c r="J266" i="1" s="1"/>
  <c r="D267" i="1"/>
  <c r="I267" i="1" s="1"/>
  <c r="J267" i="1" s="1"/>
  <c r="D268" i="1"/>
  <c r="I268" i="1" s="1"/>
  <c r="J268" i="1" s="1"/>
  <c r="D269" i="1"/>
  <c r="I269" i="1" s="1"/>
  <c r="J269" i="1" s="1"/>
  <c r="D270" i="1"/>
  <c r="I270" i="1" s="1"/>
  <c r="J270" i="1" s="1"/>
  <c r="D271" i="1"/>
  <c r="I271" i="1" s="1"/>
  <c r="J271" i="1" s="1"/>
  <c r="D272" i="1"/>
  <c r="I272" i="1" s="1"/>
  <c r="J272" i="1" s="1"/>
  <c r="D273" i="1"/>
  <c r="I273" i="1" s="1"/>
  <c r="J273" i="1" s="1"/>
  <c r="D274" i="1"/>
  <c r="I274" i="1" s="1"/>
  <c r="J274" i="1" s="1"/>
  <c r="D275" i="1"/>
  <c r="I275" i="1" s="1"/>
  <c r="J275" i="1" s="1"/>
  <c r="D276" i="1"/>
  <c r="I276" i="1" s="1"/>
  <c r="J276" i="1" s="1"/>
  <c r="D277" i="1"/>
  <c r="I277" i="1" s="1"/>
  <c r="J277" i="1" s="1"/>
  <c r="D278" i="1"/>
  <c r="I278" i="1" s="1"/>
  <c r="J278" i="1" s="1"/>
  <c r="D279" i="1"/>
  <c r="I279" i="1" s="1"/>
  <c r="J279" i="1" s="1"/>
  <c r="D280" i="1"/>
  <c r="I280" i="1" s="1"/>
  <c r="J280" i="1" s="1"/>
  <c r="D281" i="1"/>
  <c r="I281" i="1" s="1"/>
  <c r="J281" i="1" s="1"/>
  <c r="D282" i="1"/>
  <c r="I282" i="1" s="1"/>
  <c r="J282" i="1" s="1"/>
  <c r="D283" i="1"/>
  <c r="I283" i="1" s="1"/>
  <c r="J283" i="1" s="1"/>
  <c r="D284" i="1"/>
  <c r="I284" i="1" s="1"/>
  <c r="J284" i="1" s="1"/>
  <c r="D285" i="1"/>
  <c r="I285" i="1" s="1"/>
  <c r="J285" i="1" s="1"/>
  <c r="D286" i="1"/>
  <c r="I286" i="1" s="1"/>
  <c r="J286" i="1" s="1"/>
  <c r="D287" i="1"/>
  <c r="I287" i="1" s="1"/>
  <c r="J287" i="1" s="1"/>
  <c r="D288" i="1"/>
  <c r="I288" i="1" s="1"/>
  <c r="J288" i="1" s="1"/>
  <c r="D289" i="1"/>
  <c r="I289" i="1" s="1"/>
  <c r="J289" i="1" s="1"/>
  <c r="D290" i="1"/>
  <c r="I290" i="1" s="1"/>
  <c r="J290" i="1" s="1"/>
  <c r="D291" i="1"/>
  <c r="I291" i="1" s="1"/>
  <c r="J291" i="1" s="1"/>
  <c r="D292" i="1"/>
  <c r="I292" i="1" s="1"/>
  <c r="J292" i="1" s="1"/>
  <c r="D293" i="1"/>
  <c r="I293" i="1" s="1"/>
  <c r="J293" i="1" s="1"/>
  <c r="D294" i="1"/>
  <c r="I294" i="1" s="1"/>
  <c r="D295" i="1"/>
  <c r="I295" i="1" s="1"/>
  <c r="D296" i="1"/>
  <c r="I296" i="1" s="1"/>
  <c r="J296" i="1" s="1"/>
  <c r="D297" i="1"/>
  <c r="I297" i="1" s="1"/>
  <c r="J297" i="1" s="1"/>
  <c r="D298" i="1"/>
  <c r="I298" i="1" s="1"/>
  <c r="J298" i="1" s="1"/>
  <c r="D299" i="1"/>
  <c r="I299" i="1" s="1"/>
  <c r="J299" i="1" s="1"/>
  <c r="D300" i="1"/>
  <c r="I300" i="1" s="1"/>
  <c r="J300" i="1" s="1"/>
  <c r="D301" i="1"/>
  <c r="I301" i="1" s="1"/>
  <c r="J301" i="1" s="1"/>
  <c r="D302" i="1"/>
  <c r="I302" i="1" s="1"/>
  <c r="J302" i="1" s="1"/>
  <c r="D303" i="1"/>
  <c r="I303" i="1" s="1"/>
  <c r="J303" i="1" s="1"/>
  <c r="D304" i="1"/>
  <c r="I304" i="1" s="1"/>
  <c r="J304" i="1" s="1"/>
  <c r="D305" i="1"/>
  <c r="I305" i="1" s="1"/>
  <c r="J305" i="1" s="1"/>
  <c r="D306" i="1"/>
  <c r="I306" i="1" s="1"/>
  <c r="J306" i="1" s="1"/>
  <c r="D307" i="1"/>
  <c r="I307" i="1" s="1"/>
  <c r="J307" i="1" s="1"/>
  <c r="D308" i="1"/>
  <c r="I308" i="1" s="1"/>
  <c r="J308" i="1" s="1"/>
  <c r="D309" i="1"/>
  <c r="I309" i="1" s="1"/>
  <c r="J309" i="1" s="1"/>
  <c r="D310" i="1"/>
  <c r="I310" i="1" s="1"/>
  <c r="J310" i="1" s="1"/>
  <c r="D311" i="1"/>
  <c r="I311" i="1" s="1"/>
  <c r="J311" i="1" s="1"/>
  <c r="D312" i="1"/>
  <c r="I312" i="1" s="1"/>
  <c r="J312" i="1" s="1"/>
  <c r="D313" i="1"/>
  <c r="I313" i="1" s="1"/>
  <c r="J313" i="1" s="1"/>
  <c r="D314" i="1"/>
  <c r="I314" i="1" s="1"/>
  <c r="J314" i="1" s="1"/>
  <c r="D315" i="1"/>
  <c r="I315" i="1" s="1"/>
  <c r="J315" i="1" s="1"/>
  <c r="D316" i="1"/>
  <c r="I316" i="1" s="1"/>
  <c r="J316" i="1" s="1"/>
  <c r="D317" i="1"/>
  <c r="I317" i="1" s="1"/>
  <c r="J317" i="1" s="1"/>
  <c r="D318" i="1"/>
  <c r="I318" i="1" s="1"/>
  <c r="J318" i="1" s="1"/>
  <c r="D319" i="1"/>
  <c r="I319" i="1" s="1"/>
  <c r="J319" i="1" s="1"/>
  <c r="D320" i="1"/>
  <c r="I320" i="1" s="1"/>
  <c r="J320" i="1" s="1"/>
  <c r="D321" i="1"/>
  <c r="I321" i="1" s="1"/>
  <c r="J321" i="1" s="1"/>
  <c r="D322" i="1"/>
  <c r="I322" i="1" s="1"/>
  <c r="J322" i="1" s="1"/>
  <c r="D323" i="1"/>
  <c r="I323" i="1" s="1"/>
  <c r="J323" i="1" s="1"/>
  <c r="D324" i="1"/>
  <c r="I324" i="1" s="1"/>
  <c r="J324" i="1" s="1"/>
  <c r="D325" i="1"/>
  <c r="I325" i="1" s="1"/>
  <c r="J325" i="1" s="1"/>
  <c r="D326" i="1"/>
  <c r="I326" i="1" s="1"/>
  <c r="J326" i="1" s="1"/>
  <c r="D327" i="1"/>
  <c r="I327" i="1" s="1"/>
  <c r="J327" i="1" s="1"/>
  <c r="D328" i="1"/>
  <c r="I328" i="1" s="1"/>
  <c r="J328" i="1" s="1"/>
  <c r="D329" i="1"/>
  <c r="I329" i="1" s="1"/>
  <c r="J329" i="1" s="1"/>
  <c r="D330" i="1"/>
  <c r="I330" i="1" s="1"/>
  <c r="J330" i="1" s="1"/>
  <c r="D331" i="1"/>
  <c r="I331" i="1" s="1"/>
  <c r="J331" i="1" s="1"/>
  <c r="D332" i="1"/>
  <c r="I332" i="1" s="1"/>
  <c r="J332" i="1" s="1"/>
  <c r="D333" i="1"/>
  <c r="I333" i="1" s="1"/>
  <c r="J333" i="1" s="1"/>
  <c r="D334" i="1"/>
  <c r="I334" i="1" s="1"/>
  <c r="J334" i="1" s="1"/>
  <c r="D335" i="1"/>
  <c r="I335" i="1" s="1"/>
  <c r="J335" i="1" s="1"/>
  <c r="D336" i="1"/>
  <c r="I336" i="1" s="1"/>
  <c r="J336" i="1" s="1"/>
  <c r="D337" i="1"/>
  <c r="I337" i="1" s="1"/>
  <c r="J337" i="1" s="1"/>
  <c r="D338" i="1"/>
  <c r="I338" i="1" s="1"/>
  <c r="J338" i="1" s="1"/>
  <c r="D339" i="1"/>
  <c r="I339" i="1" s="1"/>
  <c r="J339" i="1" s="1"/>
  <c r="D340" i="1"/>
  <c r="I340" i="1" s="1"/>
  <c r="J340" i="1" s="1"/>
  <c r="D341" i="1"/>
  <c r="I341" i="1" s="1"/>
  <c r="J341" i="1" s="1"/>
  <c r="D342" i="1"/>
  <c r="I342" i="1" s="1"/>
  <c r="J342" i="1" s="1"/>
  <c r="D343" i="1"/>
  <c r="I343" i="1" s="1"/>
  <c r="J343" i="1" s="1"/>
  <c r="D344" i="1"/>
  <c r="I344" i="1" s="1"/>
  <c r="J344" i="1" s="1"/>
  <c r="D345" i="1"/>
  <c r="I345" i="1" s="1"/>
  <c r="J345" i="1" s="1"/>
  <c r="D346" i="1"/>
  <c r="I346" i="1" s="1"/>
  <c r="J346" i="1" s="1"/>
  <c r="D347" i="1"/>
  <c r="I347" i="1" s="1"/>
  <c r="J347" i="1" s="1"/>
  <c r="D348" i="1"/>
  <c r="I348" i="1" s="1"/>
  <c r="J348" i="1" s="1"/>
  <c r="D349" i="1"/>
  <c r="I349" i="1" s="1"/>
  <c r="J349" i="1" s="1"/>
  <c r="D350" i="1"/>
  <c r="I350" i="1" s="1"/>
  <c r="J350" i="1" s="1"/>
  <c r="D351" i="1"/>
  <c r="I351" i="1" s="1"/>
  <c r="J351" i="1" s="1"/>
  <c r="D352" i="1"/>
  <c r="I352" i="1" s="1"/>
  <c r="J352" i="1" s="1"/>
  <c r="D353" i="1"/>
  <c r="I353" i="1" s="1"/>
  <c r="J353" i="1" s="1"/>
  <c r="D354" i="1"/>
  <c r="I354" i="1" s="1"/>
  <c r="J354" i="1" s="1"/>
  <c r="D355" i="1"/>
  <c r="I355" i="1" s="1"/>
  <c r="J355" i="1" s="1"/>
  <c r="D356" i="1"/>
  <c r="I356" i="1" s="1"/>
  <c r="J356" i="1" s="1"/>
  <c r="D357" i="1"/>
  <c r="I357" i="1" s="1"/>
  <c r="J357" i="1" s="1"/>
  <c r="D358" i="1"/>
  <c r="I358" i="1" s="1"/>
  <c r="D359" i="1"/>
  <c r="I359" i="1" s="1"/>
  <c r="J359" i="1" s="1"/>
  <c r="D360" i="1"/>
  <c r="I360" i="1" s="1"/>
  <c r="J360" i="1" s="1"/>
  <c r="D361" i="1"/>
  <c r="I361" i="1" s="1"/>
  <c r="J361" i="1" s="1"/>
  <c r="D362" i="1"/>
  <c r="I362" i="1" s="1"/>
  <c r="J362" i="1" s="1"/>
  <c r="D363" i="1"/>
  <c r="I363" i="1" s="1"/>
  <c r="J363" i="1" s="1"/>
  <c r="D364" i="1"/>
  <c r="I364" i="1" s="1"/>
  <c r="J364" i="1" s="1"/>
  <c r="D365" i="1"/>
  <c r="I365" i="1" s="1"/>
  <c r="J365" i="1" s="1"/>
  <c r="D366" i="1"/>
  <c r="I366" i="1" s="1"/>
  <c r="J366" i="1" s="1"/>
  <c r="D367" i="1"/>
  <c r="I367" i="1" s="1"/>
  <c r="J367" i="1" s="1"/>
  <c r="D368" i="1"/>
  <c r="I368" i="1" s="1"/>
  <c r="J368" i="1" s="1"/>
  <c r="D369" i="1"/>
  <c r="I369" i="1" s="1"/>
  <c r="J369" i="1" s="1"/>
  <c r="D370" i="1"/>
  <c r="I370" i="1" s="1"/>
  <c r="J370" i="1" s="1"/>
  <c r="D371" i="1"/>
  <c r="I371" i="1" s="1"/>
  <c r="J371" i="1" s="1"/>
  <c r="D372" i="1"/>
  <c r="I372" i="1" s="1"/>
  <c r="J372" i="1" s="1"/>
  <c r="D373" i="1"/>
  <c r="I373" i="1" s="1"/>
  <c r="J373" i="1" s="1"/>
  <c r="D374" i="1"/>
  <c r="I374" i="1" s="1"/>
  <c r="J374" i="1" s="1"/>
  <c r="D375" i="1"/>
  <c r="I375" i="1" s="1"/>
  <c r="J375" i="1" s="1"/>
  <c r="D376" i="1"/>
  <c r="I376" i="1" s="1"/>
  <c r="J376" i="1" s="1"/>
  <c r="D377" i="1"/>
  <c r="I377" i="1" s="1"/>
  <c r="J377" i="1" s="1"/>
  <c r="D378" i="1"/>
  <c r="I378" i="1" s="1"/>
  <c r="J378" i="1" s="1"/>
  <c r="D379" i="1"/>
  <c r="I379" i="1" s="1"/>
  <c r="J379" i="1" s="1"/>
  <c r="D380" i="1"/>
  <c r="I380" i="1" s="1"/>
  <c r="J380" i="1" s="1"/>
  <c r="D381" i="1"/>
  <c r="I381" i="1" s="1"/>
  <c r="J381" i="1" s="1"/>
  <c r="D382" i="1"/>
  <c r="I382" i="1" s="1"/>
  <c r="J382" i="1" s="1"/>
  <c r="D383" i="1"/>
  <c r="I383" i="1" s="1"/>
  <c r="J383" i="1" s="1"/>
  <c r="D384" i="1"/>
  <c r="I384" i="1" s="1"/>
  <c r="J384" i="1" s="1"/>
  <c r="D385" i="1"/>
  <c r="I385" i="1" s="1"/>
  <c r="J385" i="1" s="1"/>
  <c r="D386" i="1"/>
  <c r="I386" i="1" s="1"/>
  <c r="J386" i="1" s="1"/>
  <c r="D387" i="1"/>
  <c r="I387" i="1" s="1"/>
  <c r="J387" i="1" s="1"/>
  <c r="D388" i="1"/>
  <c r="I388" i="1" s="1"/>
  <c r="J388" i="1" s="1"/>
  <c r="D389" i="1"/>
  <c r="I389" i="1" s="1"/>
  <c r="J389" i="1" s="1"/>
  <c r="D390" i="1"/>
  <c r="I390" i="1" s="1"/>
  <c r="J390" i="1" s="1"/>
  <c r="D391" i="1"/>
  <c r="I391" i="1" s="1"/>
  <c r="J391" i="1" s="1"/>
  <c r="D392" i="1"/>
  <c r="I392" i="1" s="1"/>
  <c r="J392" i="1" s="1"/>
  <c r="D393" i="1"/>
  <c r="I393" i="1" s="1"/>
  <c r="J393" i="1" s="1"/>
  <c r="D394" i="1"/>
  <c r="I394" i="1" s="1"/>
  <c r="J394" i="1" s="1"/>
  <c r="D395" i="1"/>
  <c r="I395" i="1" s="1"/>
  <c r="J395" i="1" s="1"/>
  <c r="D396" i="1"/>
  <c r="I396" i="1" s="1"/>
  <c r="J396" i="1" s="1"/>
  <c r="D397" i="1"/>
  <c r="I397" i="1" s="1"/>
  <c r="J397" i="1" s="1"/>
  <c r="D398" i="1"/>
  <c r="I398" i="1" s="1"/>
  <c r="J398" i="1" s="1"/>
  <c r="D399" i="1"/>
  <c r="I399" i="1" s="1"/>
  <c r="J399" i="1" s="1"/>
  <c r="D400" i="1"/>
  <c r="I400" i="1" s="1"/>
  <c r="J400" i="1" s="1"/>
  <c r="D401" i="1"/>
  <c r="I401" i="1" s="1"/>
  <c r="J401" i="1" s="1"/>
  <c r="D402" i="1"/>
  <c r="I402" i="1" s="1"/>
  <c r="J402" i="1" s="1"/>
  <c r="D403" i="1"/>
  <c r="I403" i="1" s="1"/>
  <c r="J403" i="1" s="1"/>
  <c r="D404" i="1"/>
  <c r="I404" i="1" s="1"/>
  <c r="J404" i="1" s="1"/>
  <c r="D405" i="1"/>
  <c r="I405" i="1" s="1"/>
  <c r="J405" i="1" s="1"/>
  <c r="D406" i="1"/>
  <c r="I406" i="1" s="1"/>
  <c r="J406" i="1" s="1"/>
  <c r="D407" i="1"/>
  <c r="I407" i="1" s="1"/>
  <c r="J407" i="1" s="1"/>
  <c r="D408" i="1"/>
  <c r="I408" i="1" s="1"/>
  <c r="J408" i="1" s="1"/>
  <c r="D409" i="1"/>
  <c r="I409" i="1" s="1"/>
  <c r="J409" i="1" s="1"/>
  <c r="D410" i="1"/>
  <c r="I410" i="1" s="1"/>
  <c r="J410" i="1" s="1"/>
  <c r="D411" i="1"/>
  <c r="I411" i="1" s="1"/>
  <c r="J411" i="1" s="1"/>
  <c r="D412" i="1"/>
  <c r="I412" i="1" s="1"/>
  <c r="J412" i="1" s="1"/>
  <c r="D413" i="1"/>
  <c r="I413" i="1" s="1"/>
  <c r="J413" i="1" s="1"/>
  <c r="D414" i="1"/>
  <c r="I414" i="1" s="1"/>
  <c r="J414" i="1" s="1"/>
  <c r="D415" i="1"/>
  <c r="I415" i="1" s="1"/>
  <c r="J415" i="1" s="1"/>
  <c r="D416" i="1"/>
  <c r="I416" i="1" s="1"/>
  <c r="J416" i="1" s="1"/>
  <c r="D417" i="1"/>
  <c r="I417" i="1" s="1"/>
  <c r="J417" i="1" s="1"/>
  <c r="D418" i="1"/>
  <c r="I418" i="1" s="1"/>
  <c r="D419" i="1"/>
  <c r="I419" i="1" s="1"/>
  <c r="J419" i="1" s="1"/>
  <c r="D420" i="1"/>
  <c r="I420" i="1" s="1"/>
  <c r="J420" i="1" s="1"/>
  <c r="D421" i="1"/>
  <c r="I421" i="1" s="1"/>
  <c r="D422" i="1"/>
  <c r="I422" i="1" s="1"/>
  <c r="J422" i="1" s="1"/>
  <c r="D423" i="1"/>
  <c r="I423" i="1" s="1"/>
  <c r="J423" i="1" s="1"/>
  <c r="D424" i="1"/>
  <c r="I424" i="1" s="1"/>
  <c r="J424" i="1" s="1"/>
  <c r="D425" i="1"/>
  <c r="I425" i="1" s="1"/>
  <c r="J425" i="1" s="1"/>
  <c r="D426" i="1"/>
  <c r="I426" i="1" s="1"/>
  <c r="J426" i="1" s="1"/>
  <c r="D427" i="1"/>
  <c r="I427" i="1" s="1"/>
  <c r="J427" i="1" s="1"/>
  <c r="D428" i="1"/>
  <c r="I428" i="1" s="1"/>
  <c r="J428" i="1" s="1"/>
  <c r="D429" i="1"/>
  <c r="I429" i="1" s="1"/>
  <c r="J429" i="1" s="1"/>
  <c r="D430" i="1"/>
  <c r="I430" i="1" s="1"/>
  <c r="J430" i="1" s="1"/>
  <c r="D431" i="1"/>
  <c r="I431" i="1" s="1"/>
  <c r="J431" i="1" s="1"/>
  <c r="D432" i="1"/>
  <c r="I432" i="1" s="1"/>
  <c r="D433" i="1"/>
  <c r="I433" i="1" s="1"/>
  <c r="D434" i="1"/>
  <c r="I434" i="1" s="1"/>
  <c r="D435" i="1"/>
  <c r="I435" i="1" s="1"/>
  <c r="D436" i="1"/>
  <c r="I436" i="1" s="1"/>
  <c r="D437" i="1"/>
  <c r="I437" i="1" s="1"/>
  <c r="D438" i="1"/>
  <c r="I438" i="1" s="1"/>
  <c r="D439" i="1"/>
  <c r="I439" i="1" s="1"/>
  <c r="D440" i="1"/>
  <c r="I440" i="1" s="1"/>
  <c r="D441" i="1"/>
  <c r="I441" i="1" s="1"/>
  <c r="D442" i="1"/>
  <c r="I442" i="1" s="1"/>
  <c r="D443" i="1"/>
  <c r="I443" i="1" s="1"/>
  <c r="D444" i="1"/>
  <c r="I444" i="1" s="1"/>
  <c r="D445" i="1"/>
  <c r="I445" i="1" s="1"/>
  <c r="D446" i="1"/>
  <c r="I446" i="1" s="1"/>
  <c r="D447" i="1"/>
  <c r="I447" i="1" s="1"/>
  <c r="J447" i="1" s="1"/>
  <c r="D448" i="1"/>
  <c r="I448" i="1" s="1"/>
  <c r="J448" i="1" s="1"/>
  <c r="D449" i="1"/>
  <c r="I449" i="1" s="1"/>
  <c r="J449" i="1" s="1"/>
  <c r="D450" i="1"/>
  <c r="I450" i="1" s="1"/>
  <c r="D451" i="1"/>
  <c r="I451" i="1" s="1"/>
  <c r="J451" i="1" s="1"/>
  <c r="D452" i="1"/>
  <c r="I452" i="1" s="1"/>
  <c r="D453" i="1"/>
  <c r="I453" i="1" s="1"/>
  <c r="J453" i="1" s="1"/>
  <c r="D454" i="1"/>
  <c r="I454" i="1" s="1"/>
  <c r="J454" i="1" s="1"/>
  <c r="D455" i="1"/>
  <c r="I455" i="1" s="1"/>
  <c r="J455" i="1" s="1"/>
  <c r="D456" i="1"/>
  <c r="I456" i="1" s="1"/>
  <c r="J456" i="1" s="1"/>
  <c r="D457" i="1"/>
  <c r="I457" i="1" s="1"/>
  <c r="J457" i="1" s="1"/>
  <c r="D458" i="1"/>
  <c r="I458" i="1" s="1"/>
  <c r="J458" i="1" s="1"/>
  <c r="D459" i="1"/>
  <c r="I459" i="1" s="1"/>
  <c r="J459" i="1" s="1"/>
  <c r="D460" i="1"/>
  <c r="I460" i="1" s="1"/>
  <c r="J460" i="1" s="1"/>
  <c r="D461" i="1"/>
  <c r="I461" i="1" s="1"/>
  <c r="D462" i="1"/>
  <c r="I462" i="1" s="1"/>
  <c r="J462" i="1" s="1"/>
  <c r="D463" i="1"/>
  <c r="I463" i="1" s="1"/>
  <c r="J463" i="1" s="1"/>
  <c r="D464" i="1"/>
  <c r="I464" i="1" s="1"/>
  <c r="D465" i="1"/>
  <c r="I465" i="1" s="1"/>
  <c r="J465" i="1" s="1"/>
  <c r="D466" i="1"/>
  <c r="I466" i="1" s="1"/>
  <c r="J466" i="1" s="1"/>
  <c r="D467" i="1"/>
  <c r="I467" i="1" s="1"/>
  <c r="D468" i="1"/>
  <c r="I468" i="1" s="1"/>
  <c r="J468" i="1" s="1"/>
  <c r="D469" i="1"/>
  <c r="I469" i="1" s="1"/>
  <c r="D470" i="1"/>
  <c r="I470" i="1" s="1"/>
  <c r="J470" i="1" s="1"/>
  <c r="D471" i="1"/>
  <c r="I471" i="1" s="1"/>
  <c r="J471" i="1" s="1"/>
  <c r="D472" i="1"/>
  <c r="I472" i="1" s="1"/>
  <c r="J472" i="1" s="1"/>
  <c r="D473" i="1"/>
  <c r="I473" i="1" s="1"/>
  <c r="J473" i="1" s="1"/>
  <c r="D474" i="1"/>
  <c r="I474" i="1" s="1"/>
  <c r="J474" i="1" s="1"/>
  <c r="D475" i="1"/>
  <c r="I475" i="1" s="1"/>
  <c r="J475" i="1" s="1"/>
  <c r="D476" i="1"/>
  <c r="I476" i="1" s="1"/>
  <c r="D477" i="1"/>
  <c r="I477" i="1" s="1"/>
  <c r="J477" i="1" s="1"/>
  <c r="D478" i="1"/>
  <c r="I478" i="1" s="1"/>
  <c r="D479" i="1"/>
  <c r="I479" i="1" s="1"/>
  <c r="J479" i="1" s="1"/>
  <c r="D480" i="1"/>
  <c r="I480" i="1" s="1"/>
  <c r="J480" i="1" s="1"/>
  <c r="D481" i="1"/>
  <c r="I481" i="1" s="1"/>
  <c r="D482" i="1"/>
  <c r="I482" i="1" s="1"/>
  <c r="D483" i="1"/>
  <c r="I483" i="1" s="1"/>
  <c r="D484" i="1"/>
  <c r="I484" i="1" s="1"/>
  <c r="J484" i="1" s="1"/>
  <c r="D485" i="1"/>
  <c r="I485" i="1" s="1"/>
  <c r="J485" i="1" s="1"/>
  <c r="D486" i="1"/>
  <c r="I486" i="1" s="1"/>
  <c r="J486" i="1" s="1"/>
  <c r="D487" i="1"/>
  <c r="I487" i="1" s="1"/>
  <c r="J487" i="1" s="1"/>
  <c r="D488" i="1"/>
  <c r="I488" i="1" s="1"/>
  <c r="J488" i="1" s="1"/>
  <c r="D489" i="1"/>
  <c r="I489" i="1" s="1"/>
  <c r="J489" i="1" s="1"/>
  <c r="D490" i="1"/>
  <c r="I490" i="1" s="1"/>
  <c r="J490" i="1" s="1"/>
  <c r="D491" i="1"/>
  <c r="I491" i="1" s="1"/>
  <c r="J491" i="1" s="1"/>
  <c r="D492" i="1"/>
  <c r="I492" i="1" s="1"/>
  <c r="J492" i="1" s="1"/>
  <c r="D493" i="1"/>
  <c r="I493" i="1" s="1"/>
  <c r="J493" i="1" s="1"/>
  <c r="D494" i="1"/>
  <c r="I494" i="1" s="1"/>
  <c r="J494" i="1" s="1"/>
  <c r="D495" i="1"/>
  <c r="I495" i="1" s="1"/>
  <c r="J495" i="1" s="1"/>
  <c r="D496" i="1"/>
  <c r="I496" i="1" s="1"/>
  <c r="J496" i="1" s="1"/>
  <c r="D497" i="1"/>
  <c r="I497" i="1" s="1"/>
  <c r="J497" i="1" s="1"/>
  <c r="D498" i="1"/>
  <c r="I498" i="1" s="1"/>
  <c r="J498" i="1" s="1"/>
  <c r="D499" i="1"/>
  <c r="I499" i="1" s="1"/>
  <c r="J499" i="1" s="1"/>
  <c r="D500" i="1"/>
  <c r="I500" i="1" s="1"/>
  <c r="J500" i="1" s="1"/>
  <c r="D501" i="1"/>
  <c r="I501" i="1" s="1"/>
  <c r="J501" i="1" s="1"/>
  <c r="D502" i="1"/>
  <c r="I502" i="1" s="1"/>
  <c r="J502" i="1" s="1"/>
  <c r="D503" i="1"/>
  <c r="I503" i="1" s="1"/>
  <c r="D504" i="1"/>
  <c r="I504" i="1" s="1"/>
  <c r="J504" i="1" s="1"/>
  <c r="D505" i="1"/>
  <c r="I505" i="1" s="1"/>
  <c r="D506" i="1"/>
  <c r="I506" i="1" s="1"/>
  <c r="J506" i="1" s="1"/>
  <c r="D507" i="1"/>
  <c r="I507" i="1" s="1"/>
  <c r="J507" i="1" s="1"/>
  <c r="D508" i="1"/>
  <c r="I508" i="1" s="1"/>
  <c r="J508" i="1" s="1"/>
  <c r="D509" i="1"/>
  <c r="I509" i="1" s="1"/>
  <c r="J509" i="1" s="1"/>
  <c r="D510" i="1"/>
  <c r="I510" i="1" s="1"/>
  <c r="J510" i="1" s="1"/>
  <c r="D511" i="1"/>
  <c r="I511" i="1" s="1"/>
  <c r="J511" i="1" s="1"/>
  <c r="D512" i="1"/>
  <c r="I512" i="1" s="1"/>
  <c r="J512" i="1" s="1"/>
  <c r="H12" i="1"/>
  <c r="D12" i="1"/>
  <c r="A12" i="1"/>
  <c r="Q11" i="1"/>
  <c r="L11" i="1"/>
  <c r="B11" i="1"/>
  <c r="G11" i="1"/>
  <c r="S11" i="1" s="1"/>
  <c r="N12" i="1" l="1"/>
  <c r="O12" i="1" s="1"/>
  <c r="L12" i="1" s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Q12" i="1"/>
  <c r="A13" i="1"/>
  <c r="T11" i="1"/>
  <c r="M12" i="1"/>
  <c r="R11" i="1"/>
  <c r="C12" i="1"/>
  <c r="J82" i="1"/>
  <c r="J86" i="1"/>
  <c r="J90" i="1"/>
  <c r="J93" i="1"/>
  <c r="J94" i="1"/>
  <c r="J95" i="1"/>
  <c r="J96" i="1"/>
  <c r="J98" i="1"/>
  <c r="J99" i="1"/>
  <c r="J100" i="1"/>
  <c r="J101" i="1"/>
  <c r="J102" i="1"/>
  <c r="J105" i="1"/>
  <c r="J115" i="1"/>
  <c r="J117" i="1"/>
  <c r="J118" i="1"/>
  <c r="J119" i="1"/>
  <c r="J121" i="1"/>
  <c r="J123" i="1"/>
  <c r="J124" i="1"/>
  <c r="J125" i="1"/>
  <c r="J126" i="1"/>
  <c r="J127" i="1"/>
  <c r="J131" i="1"/>
  <c r="J136" i="1"/>
  <c r="J137" i="1"/>
  <c r="J138" i="1"/>
  <c r="J168" i="1"/>
  <c r="J198" i="1"/>
  <c r="J199" i="1"/>
  <c r="J201" i="1"/>
  <c r="J294" i="1"/>
  <c r="J295" i="1"/>
  <c r="J75" i="1"/>
  <c r="J77" i="1"/>
  <c r="J226" i="1"/>
  <c r="J228" i="1"/>
  <c r="J229" i="1"/>
  <c r="J230" i="1"/>
  <c r="J231" i="1"/>
  <c r="J232" i="1"/>
  <c r="J261" i="1"/>
  <c r="J262" i="1"/>
  <c r="J358" i="1"/>
  <c r="J418" i="1"/>
  <c r="J421" i="1"/>
  <c r="J450" i="1"/>
  <c r="J452" i="1"/>
  <c r="J461" i="1"/>
  <c r="J464" i="1"/>
  <c r="J467" i="1"/>
  <c r="J469" i="1"/>
  <c r="J476" i="1"/>
  <c r="J478" i="1"/>
  <c r="J481" i="1"/>
  <c r="J482" i="1"/>
  <c r="J483" i="1"/>
  <c r="J503" i="1"/>
  <c r="J505" i="1"/>
  <c r="E12" i="1"/>
  <c r="B12" i="1" s="1"/>
  <c r="I12" i="1"/>
  <c r="J12" i="1" s="1"/>
  <c r="G12" i="1" s="1"/>
  <c r="Q13" i="1" l="1"/>
  <c r="A14" i="1"/>
  <c r="T12" i="1"/>
  <c r="M13" i="1"/>
  <c r="N13" i="1"/>
  <c r="S12" i="1"/>
  <c r="G13" i="1"/>
  <c r="R12" i="1"/>
  <c r="C13" i="1"/>
  <c r="E13" i="1" s="1"/>
  <c r="B13" i="1" s="1"/>
  <c r="R13" i="1" s="1"/>
  <c r="O13" i="1" l="1"/>
  <c r="L13" i="1" s="1"/>
  <c r="Q14" i="1"/>
  <c r="A15" i="1"/>
  <c r="N14" i="1"/>
  <c r="M14" i="1"/>
  <c r="O14" i="1" s="1"/>
  <c r="L14" i="1" s="1"/>
  <c r="T13" i="1"/>
  <c r="G14" i="1"/>
  <c r="S13" i="1"/>
  <c r="C14" i="1"/>
  <c r="E14" i="1" s="1"/>
  <c r="B14" i="1" s="1"/>
  <c r="R14" i="1" s="1"/>
  <c r="Q15" i="1" l="1"/>
  <c r="A16" i="1"/>
  <c r="M15" i="1"/>
  <c r="N15" i="1"/>
  <c r="T14" i="1"/>
  <c r="S14" i="1"/>
  <c r="G15" i="1"/>
  <c r="C15" i="1"/>
  <c r="E15" i="1" s="1"/>
  <c r="B15" i="1" s="1"/>
  <c r="R15" i="1" s="1"/>
  <c r="Q16" i="1" l="1"/>
  <c r="A17" i="1"/>
  <c r="O15" i="1"/>
  <c r="L15" i="1" s="1"/>
  <c r="S15" i="1"/>
  <c r="G16" i="1"/>
  <c r="C16" i="1"/>
  <c r="E16" i="1" s="1"/>
  <c r="B16" i="1" s="1"/>
  <c r="R16" i="1" s="1"/>
  <c r="Q17" i="1" l="1"/>
  <c r="A18" i="1"/>
  <c r="M16" i="1"/>
  <c r="N16" i="1"/>
  <c r="T15" i="1"/>
  <c r="S16" i="1"/>
  <c r="G17" i="1"/>
  <c r="C17" i="1"/>
  <c r="E17" i="1" s="1"/>
  <c r="B17" i="1" s="1"/>
  <c r="R17" i="1" s="1"/>
  <c r="O16" i="1" l="1"/>
  <c r="L16" i="1" s="1"/>
  <c r="Q18" i="1"/>
  <c r="A19" i="1"/>
  <c r="S17" i="1"/>
  <c r="G18" i="1"/>
  <c r="C18" i="1"/>
  <c r="E18" i="1" s="1"/>
  <c r="B18" i="1" s="1"/>
  <c r="R18" i="1" s="1"/>
  <c r="M17" i="1" l="1"/>
  <c r="N17" i="1"/>
  <c r="T16" i="1"/>
  <c r="Q19" i="1"/>
  <c r="A20" i="1"/>
  <c r="S18" i="1"/>
  <c r="G19" i="1"/>
  <c r="C19" i="1"/>
  <c r="E19" i="1" s="1"/>
  <c r="B19" i="1" s="1"/>
  <c r="R19" i="1" s="1"/>
  <c r="O17" i="1" l="1"/>
  <c r="L17" i="1" s="1"/>
  <c r="Q20" i="1"/>
  <c r="A21" i="1"/>
  <c r="S19" i="1"/>
  <c r="G20" i="1"/>
  <c r="C20" i="1"/>
  <c r="E20" i="1" s="1"/>
  <c r="B20" i="1" s="1"/>
  <c r="R20" i="1" s="1"/>
  <c r="T17" i="1" l="1"/>
  <c r="N18" i="1"/>
  <c r="M18" i="1"/>
  <c r="O18" i="1" s="1"/>
  <c r="L18" i="1" s="1"/>
  <c r="Q21" i="1"/>
  <c r="A22" i="1"/>
  <c r="T18" i="1"/>
  <c r="N19" i="1"/>
  <c r="M19" i="1"/>
  <c r="O19" i="1" s="1"/>
  <c r="L19" i="1" s="1"/>
  <c r="S20" i="1"/>
  <c r="G21" i="1"/>
  <c r="C21" i="1"/>
  <c r="E21" i="1" s="1"/>
  <c r="B21" i="1" s="1"/>
  <c r="R21" i="1" s="1"/>
  <c r="Q22" i="1" l="1"/>
  <c r="A23" i="1"/>
  <c r="N20" i="1"/>
  <c r="M20" i="1"/>
  <c r="O20" i="1" s="1"/>
  <c r="L20" i="1" s="1"/>
  <c r="T20" i="1" s="1"/>
  <c r="T19" i="1"/>
  <c r="S21" i="1"/>
  <c r="G22" i="1"/>
  <c r="M21" i="1"/>
  <c r="N21" i="1"/>
  <c r="C22" i="1"/>
  <c r="E22" i="1" s="1"/>
  <c r="B22" i="1" s="1"/>
  <c r="R22" i="1" s="1"/>
  <c r="A24" i="1" l="1"/>
  <c r="Q23" i="1"/>
  <c r="S22" i="1"/>
  <c r="G23" i="1"/>
  <c r="O21" i="1"/>
  <c r="L21" i="1" s="1"/>
  <c r="N22" i="1"/>
  <c r="M22" i="1"/>
  <c r="O22" i="1" s="1"/>
  <c r="C23" i="1"/>
  <c r="E23" i="1" s="1"/>
  <c r="B23" i="1"/>
  <c r="R23" i="1" s="1"/>
  <c r="A25" i="1" l="1"/>
  <c r="Q24" i="1"/>
  <c r="S23" i="1"/>
  <c r="G24" i="1"/>
  <c r="T21" i="1"/>
  <c r="L22" i="1"/>
  <c r="T22" i="1" s="1"/>
  <c r="N23" i="1"/>
  <c r="M23" i="1"/>
  <c r="O23" i="1" s="1"/>
  <c r="L23" i="1"/>
  <c r="T23" i="1" s="1"/>
  <c r="C24" i="1"/>
  <c r="E24" i="1" s="1"/>
  <c r="B24" i="1" s="1"/>
  <c r="R24" i="1" s="1"/>
  <c r="Q25" i="1" l="1"/>
  <c r="A26" i="1"/>
  <c r="S24" i="1"/>
  <c r="G25" i="1"/>
  <c r="N24" i="1"/>
  <c r="M24" i="1"/>
  <c r="O24" i="1" s="1"/>
  <c r="L24" i="1"/>
  <c r="T24" i="1" s="1"/>
  <c r="C25" i="1"/>
  <c r="E25" i="1" s="1"/>
  <c r="B25" i="1" s="1"/>
  <c r="R25" i="1" s="1"/>
  <c r="Q26" i="1" l="1"/>
  <c r="A27" i="1"/>
  <c r="S25" i="1"/>
  <c r="G26" i="1"/>
  <c r="N25" i="1"/>
  <c r="M25" i="1"/>
  <c r="O25" i="1" s="1"/>
  <c r="L25" i="1" s="1"/>
  <c r="T25" i="1" s="1"/>
  <c r="C26" i="1"/>
  <c r="E26" i="1" s="1"/>
  <c r="B26" i="1" s="1"/>
  <c r="R26" i="1" s="1"/>
  <c r="Q27" i="1" l="1"/>
  <c r="A28" i="1"/>
  <c r="S26" i="1"/>
  <c r="G27" i="1"/>
  <c r="N26" i="1"/>
  <c r="M26" i="1"/>
  <c r="O26" i="1" s="1"/>
  <c r="L26" i="1" s="1"/>
  <c r="T26" i="1" s="1"/>
  <c r="C27" i="1"/>
  <c r="E27" i="1" s="1"/>
  <c r="B27" i="1" s="1"/>
  <c r="R27" i="1" s="1"/>
  <c r="A29" i="1" l="1"/>
  <c r="Q28" i="1"/>
  <c r="S27" i="1"/>
  <c r="G28" i="1"/>
  <c r="N27" i="1"/>
  <c r="M27" i="1"/>
  <c r="C28" i="1"/>
  <c r="E28" i="1" s="1"/>
  <c r="B28" i="1"/>
  <c r="R28" i="1" s="1"/>
  <c r="Q29" i="1" l="1"/>
  <c r="A30" i="1"/>
  <c r="S28" i="1"/>
  <c r="G29" i="1"/>
  <c r="O27" i="1"/>
  <c r="L27" i="1" s="1"/>
  <c r="T27" i="1" s="1"/>
  <c r="C29" i="1"/>
  <c r="E29" i="1" s="1"/>
  <c r="B29" i="1" s="1"/>
  <c r="R29" i="1" s="1"/>
  <c r="A31" i="1" l="1"/>
  <c r="Q30" i="1"/>
  <c r="S29" i="1"/>
  <c r="G30" i="1"/>
  <c r="M28" i="1"/>
  <c r="N28" i="1"/>
  <c r="C30" i="1"/>
  <c r="E30" i="1" s="1"/>
  <c r="B30" i="1" s="1"/>
  <c r="R30" i="1" s="1"/>
  <c r="Q31" i="1" l="1"/>
  <c r="A32" i="1"/>
  <c r="S30" i="1"/>
  <c r="G31" i="1"/>
  <c r="O28" i="1"/>
  <c r="L28" i="1" s="1"/>
  <c r="T28" i="1" s="1"/>
  <c r="C31" i="1"/>
  <c r="E31" i="1" s="1"/>
  <c r="B31" i="1" s="1"/>
  <c r="R31" i="1" s="1"/>
  <c r="Q32" i="1" l="1"/>
  <c r="A33" i="1"/>
  <c r="S31" i="1"/>
  <c r="G32" i="1"/>
  <c r="M29" i="1"/>
  <c r="N29" i="1"/>
  <c r="C32" i="1"/>
  <c r="E32" i="1" s="1"/>
  <c r="B32" i="1" s="1"/>
  <c r="R32" i="1" s="1"/>
  <c r="O29" i="1" l="1"/>
  <c r="L29" i="1" s="1"/>
  <c r="Q33" i="1"/>
  <c r="A34" i="1"/>
  <c r="S32" i="1"/>
  <c r="G33" i="1"/>
  <c r="C33" i="1"/>
  <c r="E33" i="1" s="1"/>
  <c r="B33" i="1" s="1"/>
  <c r="R33" i="1" s="1"/>
  <c r="T29" i="1" l="1"/>
  <c r="N30" i="1"/>
  <c r="M30" i="1"/>
  <c r="O30" i="1" s="1"/>
  <c r="L30" i="1" s="1"/>
  <c r="T30" i="1" s="1"/>
  <c r="Q34" i="1"/>
  <c r="A35" i="1"/>
  <c r="S33" i="1"/>
  <c r="G34" i="1"/>
  <c r="N31" i="1"/>
  <c r="M31" i="1"/>
  <c r="O31" i="1" s="1"/>
  <c r="L31" i="1" s="1"/>
  <c r="T31" i="1" s="1"/>
  <c r="C34" i="1"/>
  <c r="E34" i="1" s="1"/>
  <c r="B34" i="1" s="1"/>
  <c r="R34" i="1" s="1"/>
  <c r="Q35" i="1" l="1"/>
  <c r="A36" i="1"/>
  <c r="S34" i="1"/>
  <c r="G35" i="1"/>
  <c r="N32" i="1"/>
  <c r="M32" i="1"/>
  <c r="O32" i="1" s="1"/>
  <c r="L32" i="1"/>
  <c r="T32" i="1" s="1"/>
  <c r="C35" i="1"/>
  <c r="E35" i="1" s="1"/>
  <c r="B35" i="1" s="1"/>
  <c r="R35" i="1" s="1"/>
  <c r="Q36" i="1" l="1"/>
  <c r="A37" i="1"/>
  <c r="S35" i="1"/>
  <c r="G36" i="1"/>
  <c r="N33" i="1"/>
  <c r="M33" i="1"/>
  <c r="O33" i="1" s="1"/>
  <c r="L33" i="1"/>
  <c r="T33" i="1" s="1"/>
  <c r="C36" i="1"/>
  <c r="E36" i="1" s="1"/>
  <c r="B36" i="1" s="1"/>
  <c r="R36" i="1" s="1"/>
  <c r="Q37" i="1" l="1"/>
  <c r="A38" i="1"/>
  <c r="S36" i="1"/>
  <c r="G37" i="1"/>
  <c r="N34" i="1"/>
  <c r="M34" i="1"/>
  <c r="O34" i="1" s="1"/>
  <c r="L34" i="1" s="1"/>
  <c r="T34" i="1" s="1"/>
  <c r="C37" i="1"/>
  <c r="E37" i="1" s="1"/>
  <c r="B37" i="1" s="1"/>
  <c r="R37" i="1" s="1"/>
  <c r="Q38" i="1" l="1"/>
  <c r="A39" i="1"/>
  <c r="S37" i="1"/>
  <c r="G38" i="1"/>
  <c r="N35" i="1"/>
  <c r="M35" i="1"/>
  <c r="O35" i="1" s="1"/>
  <c r="L35" i="1" s="1"/>
  <c r="T35" i="1" s="1"/>
  <c r="C38" i="1"/>
  <c r="E38" i="1" s="1"/>
  <c r="B38" i="1"/>
  <c r="R38" i="1" s="1"/>
  <c r="Q39" i="1" l="1"/>
  <c r="A40" i="1"/>
  <c r="S38" i="1"/>
  <c r="G39" i="1"/>
  <c r="N36" i="1"/>
  <c r="M36" i="1"/>
  <c r="O36" i="1" s="1"/>
  <c r="L36" i="1" s="1"/>
  <c r="T36" i="1" s="1"/>
  <c r="C39" i="1"/>
  <c r="E39" i="1" s="1"/>
  <c r="B39" i="1" s="1"/>
  <c r="R39" i="1" s="1"/>
  <c r="Q40" i="1" l="1"/>
  <c r="A41" i="1"/>
  <c r="S39" i="1"/>
  <c r="G40" i="1"/>
  <c r="N37" i="1"/>
  <c r="M37" i="1"/>
  <c r="O37" i="1" s="1"/>
  <c r="L37" i="1" s="1"/>
  <c r="T37" i="1" s="1"/>
  <c r="C40" i="1"/>
  <c r="E40" i="1" s="1"/>
  <c r="B40" i="1" s="1"/>
  <c r="R40" i="1" s="1"/>
  <c r="Q41" i="1" l="1"/>
  <c r="A42" i="1"/>
  <c r="S40" i="1"/>
  <c r="G41" i="1"/>
  <c r="N38" i="1"/>
  <c r="M38" i="1"/>
  <c r="C41" i="1"/>
  <c r="E41" i="1" s="1"/>
  <c r="B41" i="1" s="1"/>
  <c r="R41" i="1" s="1"/>
  <c r="O38" i="1" l="1"/>
  <c r="L38" i="1" s="1"/>
  <c r="Q42" i="1"/>
  <c r="A43" i="1"/>
  <c r="S41" i="1"/>
  <c r="G42" i="1"/>
  <c r="C42" i="1"/>
  <c r="E42" i="1" s="1"/>
  <c r="B42" i="1" s="1"/>
  <c r="R42" i="1" s="1"/>
  <c r="T38" i="1" l="1"/>
  <c r="N39" i="1"/>
  <c r="M39" i="1"/>
  <c r="O39" i="1" s="1"/>
  <c r="L39" i="1" s="1"/>
  <c r="Q43" i="1"/>
  <c r="A44" i="1"/>
  <c r="S42" i="1"/>
  <c r="G43" i="1"/>
  <c r="M40" i="1"/>
  <c r="C43" i="1"/>
  <c r="E43" i="1" s="1"/>
  <c r="B43" i="1"/>
  <c r="R43" i="1" s="1"/>
  <c r="T39" i="1" l="1"/>
  <c r="N40" i="1"/>
  <c r="O40" i="1" s="1"/>
  <c r="L40" i="1" s="1"/>
  <c r="T40" i="1" s="1"/>
  <c r="Q44" i="1"/>
  <c r="A45" i="1"/>
  <c r="S43" i="1"/>
  <c r="G44" i="1"/>
  <c r="N41" i="1"/>
  <c r="M41" i="1"/>
  <c r="O41" i="1" s="1"/>
  <c r="L41" i="1" s="1"/>
  <c r="T41" i="1" s="1"/>
  <c r="C44" i="1"/>
  <c r="E44" i="1" s="1"/>
  <c r="B44" i="1" s="1"/>
  <c r="R44" i="1" s="1"/>
  <c r="Q45" i="1" l="1"/>
  <c r="A46" i="1"/>
  <c r="S44" i="1"/>
  <c r="G45" i="1"/>
  <c r="N42" i="1"/>
  <c r="M42" i="1"/>
  <c r="C45" i="1"/>
  <c r="E45" i="1" s="1"/>
  <c r="B45" i="1" s="1"/>
  <c r="R45" i="1" s="1"/>
  <c r="Q46" i="1" l="1"/>
  <c r="A47" i="1"/>
  <c r="S45" i="1"/>
  <c r="G46" i="1"/>
  <c r="O42" i="1"/>
  <c r="L42" i="1" s="1"/>
  <c r="C46" i="1"/>
  <c r="E46" i="1" s="1"/>
  <c r="B46" i="1" s="1"/>
  <c r="R46" i="1" s="1"/>
  <c r="Q47" i="1" l="1"/>
  <c r="A48" i="1"/>
  <c r="S46" i="1"/>
  <c r="G47" i="1"/>
  <c r="T42" i="1"/>
  <c r="N43" i="1"/>
  <c r="M43" i="1"/>
  <c r="C47" i="1"/>
  <c r="E47" i="1" s="1"/>
  <c r="B47" i="1" s="1"/>
  <c r="R47" i="1" s="1"/>
  <c r="O43" i="1" l="1"/>
  <c r="L43" i="1" s="1"/>
  <c r="Q48" i="1"/>
  <c r="A49" i="1"/>
  <c r="S47" i="1"/>
  <c r="G48" i="1"/>
  <c r="C48" i="1"/>
  <c r="E48" i="1" s="1"/>
  <c r="B48" i="1" s="1"/>
  <c r="R48" i="1" s="1"/>
  <c r="M44" i="1" l="1"/>
  <c r="N44" i="1"/>
  <c r="T43" i="1"/>
  <c r="Q49" i="1"/>
  <c r="A50" i="1"/>
  <c r="S48" i="1"/>
  <c r="G49" i="1"/>
  <c r="C49" i="1"/>
  <c r="E49" i="1" s="1"/>
  <c r="B49" i="1" s="1"/>
  <c r="R49" i="1" s="1"/>
  <c r="O44" i="1" l="1"/>
  <c r="L44" i="1" s="1"/>
  <c r="Q50" i="1"/>
  <c r="A51" i="1"/>
  <c r="S49" i="1"/>
  <c r="G50" i="1"/>
  <c r="C50" i="1"/>
  <c r="E50" i="1" s="1"/>
  <c r="B50" i="1" s="1"/>
  <c r="R50" i="1" s="1"/>
  <c r="T44" i="1" l="1"/>
  <c r="M45" i="1"/>
  <c r="N45" i="1"/>
  <c r="Q51" i="1"/>
  <c r="A52" i="1"/>
  <c r="S50" i="1"/>
  <c r="G51" i="1"/>
  <c r="C51" i="1"/>
  <c r="E51" i="1" s="1"/>
  <c r="B51" i="1" s="1"/>
  <c r="R51" i="1" s="1"/>
  <c r="O45" i="1" l="1"/>
  <c r="L45" i="1" s="1"/>
  <c r="Q52" i="1"/>
  <c r="A53" i="1"/>
  <c r="S51" i="1"/>
  <c r="G52" i="1"/>
  <c r="C52" i="1"/>
  <c r="E52" i="1" s="1"/>
  <c r="B52" i="1" s="1"/>
  <c r="R52" i="1" s="1"/>
  <c r="T45" i="1" l="1"/>
  <c r="N46" i="1"/>
  <c r="M46" i="1"/>
  <c r="O46" i="1" s="1"/>
  <c r="L46" i="1" s="1"/>
  <c r="Q53" i="1"/>
  <c r="A54" i="1"/>
  <c r="S52" i="1"/>
  <c r="G53" i="1"/>
  <c r="C53" i="1"/>
  <c r="E53" i="1" s="1"/>
  <c r="B53" i="1" s="1"/>
  <c r="R53" i="1" s="1"/>
  <c r="M47" i="1" l="1"/>
  <c r="O47" i="1" s="1"/>
  <c r="L47" i="1" s="1"/>
  <c r="N47" i="1"/>
  <c r="T46" i="1"/>
  <c r="Q54" i="1"/>
  <c r="A55" i="1"/>
  <c r="S53" i="1"/>
  <c r="G54" i="1"/>
  <c r="C54" i="1"/>
  <c r="E54" i="1" s="1"/>
  <c r="B54" i="1" s="1"/>
  <c r="R54" i="1" s="1"/>
  <c r="N48" i="1" l="1"/>
  <c r="M48" i="1"/>
  <c r="O48" i="1" s="1"/>
  <c r="L48" i="1" s="1"/>
  <c r="T47" i="1"/>
  <c r="Q55" i="1"/>
  <c r="A56" i="1"/>
  <c r="S54" i="1"/>
  <c r="G55" i="1"/>
  <c r="C55" i="1"/>
  <c r="E55" i="1" s="1"/>
  <c r="B55" i="1" s="1"/>
  <c r="R55" i="1" s="1"/>
  <c r="M49" i="1" l="1"/>
  <c r="N49" i="1"/>
  <c r="T48" i="1"/>
  <c r="Q56" i="1"/>
  <c r="A57" i="1"/>
  <c r="S55" i="1"/>
  <c r="G56" i="1"/>
  <c r="C56" i="1"/>
  <c r="E56" i="1" s="1"/>
  <c r="B56" i="1" s="1"/>
  <c r="R56" i="1" s="1"/>
  <c r="O49" i="1" l="1"/>
  <c r="L49" i="1" s="1"/>
  <c r="Q57" i="1"/>
  <c r="A58" i="1"/>
  <c r="S56" i="1"/>
  <c r="G57" i="1"/>
  <c r="C57" i="1"/>
  <c r="E57" i="1" s="1"/>
  <c r="B57" i="1" s="1"/>
  <c r="R57" i="1" s="1"/>
  <c r="T49" i="1" l="1"/>
  <c r="N50" i="1"/>
  <c r="M50" i="1"/>
  <c r="O50" i="1" s="1"/>
  <c r="L50" i="1" s="1"/>
  <c r="Q58" i="1"/>
  <c r="A59" i="1"/>
  <c r="S57" i="1"/>
  <c r="G58" i="1"/>
  <c r="C58" i="1"/>
  <c r="E58" i="1" s="1"/>
  <c r="B58" i="1" s="1"/>
  <c r="R58" i="1" s="1"/>
  <c r="T50" i="1" l="1"/>
  <c r="M51" i="1"/>
  <c r="N51" i="1"/>
  <c r="Q59" i="1"/>
  <c r="A60" i="1"/>
  <c r="S58" i="1"/>
  <c r="G59" i="1"/>
  <c r="C59" i="1"/>
  <c r="E59" i="1" s="1"/>
  <c r="B59" i="1" s="1"/>
  <c r="R59" i="1" s="1"/>
  <c r="O51" i="1" l="1"/>
  <c r="L51" i="1" s="1"/>
  <c r="Q60" i="1"/>
  <c r="A61" i="1"/>
  <c r="S59" i="1"/>
  <c r="G60" i="1"/>
  <c r="C60" i="1"/>
  <c r="E60" i="1" s="1"/>
  <c r="B60" i="1" s="1"/>
  <c r="R60" i="1" s="1"/>
  <c r="T51" i="1" l="1"/>
  <c r="M52" i="1"/>
  <c r="N52" i="1"/>
  <c r="Q61" i="1"/>
  <c r="A62" i="1"/>
  <c r="S60" i="1"/>
  <c r="G61" i="1"/>
  <c r="C61" i="1"/>
  <c r="E61" i="1" s="1"/>
  <c r="B61" i="1" s="1"/>
  <c r="R61" i="1" s="1"/>
  <c r="O52" i="1" l="1"/>
  <c r="L52" i="1" s="1"/>
  <c r="Q62" i="1"/>
  <c r="A63" i="1"/>
  <c r="S61" i="1"/>
  <c r="G62" i="1"/>
  <c r="C62" i="1"/>
  <c r="E62" i="1" s="1"/>
  <c r="B62" i="1" s="1"/>
  <c r="R62" i="1" s="1"/>
  <c r="T52" i="1" l="1"/>
  <c r="M53" i="1"/>
  <c r="N53" i="1"/>
  <c r="Q63" i="1"/>
  <c r="A64" i="1"/>
  <c r="S62" i="1"/>
  <c r="G63" i="1"/>
  <c r="C63" i="1"/>
  <c r="E63" i="1" s="1"/>
  <c r="B63" i="1"/>
  <c r="R63" i="1" s="1"/>
  <c r="O53" i="1" l="1"/>
  <c r="L53" i="1" s="1"/>
  <c r="Q64" i="1"/>
  <c r="A65" i="1"/>
  <c r="S63" i="1"/>
  <c r="G64" i="1"/>
  <c r="C64" i="1"/>
  <c r="E64" i="1" s="1"/>
  <c r="B64" i="1" s="1"/>
  <c r="R64" i="1" s="1"/>
  <c r="T53" i="1" l="1"/>
  <c r="M54" i="1"/>
  <c r="N54" i="1"/>
  <c r="Q65" i="1"/>
  <c r="A66" i="1"/>
  <c r="S64" i="1"/>
  <c r="G65" i="1"/>
  <c r="C65" i="1"/>
  <c r="E65" i="1" s="1"/>
  <c r="B65" i="1" s="1"/>
  <c r="R65" i="1" s="1"/>
  <c r="O54" i="1" l="1"/>
  <c r="L54" i="1" s="1"/>
  <c r="Q66" i="1"/>
  <c r="A67" i="1"/>
  <c r="S65" i="1"/>
  <c r="G66" i="1"/>
  <c r="C66" i="1"/>
  <c r="E66" i="1" s="1"/>
  <c r="B66" i="1" s="1"/>
  <c r="R66" i="1" s="1"/>
  <c r="T54" i="1" l="1"/>
  <c r="N55" i="1"/>
  <c r="M55" i="1"/>
  <c r="O55" i="1" s="1"/>
  <c r="L55" i="1"/>
  <c r="Q67" i="1"/>
  <c r="A68" i="1"/>
  <c r="S66" i="1"/>
  <c r="G67" i="1"/>
  <c r="C67" i="1"/>
  <c r="E67" i="1" s="1"/>
  <c r="B67" i="1"/>
  <c r="R67" i="1" s="1"/>
  <c r="M56" i="1" l="1"/>
  <c r="N56" i="1"/>
  <c r="T55" i="1"/>
  <c r="Q68" i="1"/>
  <c r="A69" i="1"/>
  <c r="S67" i="1"/>
  <c r="G68" i="1"/>
  <c r="C68" i="1"/>
  <c r="E68" i="1" s="1"/>
  <c r="B68" i="1" s="1"/>
  <c r="R68" i="1" s="1"/>
  <c r="O56" i="1" l="1"/>
  <c r="L56" i="1" s="1"/>
  <c r="Q69" i="1"/>
  <c r="A70" i="1"/>
  <c r="S68" i="1"/>
  <c r="G69" i="1"/>
  <c r="C69" i="1"/>
  <c r="E69" i="1" s="1"/>
  <c r="B69" i="1"/>
  <c r="R69" i="1" s="1"/>
  <c r="T56" i="1" l="1"/>
  <c r="N57" i="1"/>
  <c r="M57" i="1"/>
  <c r="O57" i="1" s="1"/>
  <c r="L57" i="1" s="1"/>
  <c r="Q70" i="1"/>
  <c r="A71" i="1"/>
  <c r="S69" i="1"/>
  <c r="G70" i="1"/>
  <c r="C70" i="1"/>
  <c r="E70" i="1" s="1"/>
  <c r="B70" i="1" s="1"/>
  <c r="R70" i="1" s="1"/>
  <c r="M58" i="1" l="1"/>
  <c r="N58" i="1"/>
  <c r="T57" i="1"/>
  <c r="Q71" i="1"/>
  <c r="A72" i="1"/>
  <c r="S70" i="1"/>
  <c r="G71" i="1"/>
  <c r="C71" i="1"/>
  <c r="E71" i="1" s="1"/>
  <c r="B71" i="1" s="1"/>
  <c r="R71" i="1" s="1"/>
  <c r="O58" i="1" l="1"/>
  <c r="L58" i="1" s="1"/>
  <c r="Q72" i="1"/>
  <c r="A73" i="1"/>
  <c r="S71" i="1"/>
  <c r="G72" i="1"/>
  <c r="C72" i="1"/>
  <c r="E72" i="1" s="1"/>
  <c r="B72" i="1" s="1"/>
  <c r="R72" i="1" s="1"/>
  <c r="T58" i="1" l="1"/>
  <c r="N59" i="1"/>
  <c r="M59" i="1"/>
  <c r="O59" i="1" s="1"/>
  <c r="L59" i="1" s="1"/>
  <c r="Q73" i="1"/>
  <c r="A74" i="1"/>
  <c r="S72" i="1"/>
  <c r="G73" i="1"/>
  <c r="C73" i="1"/>
  <c r="E73" i="1" s="1"/>
  <c r="B73" i="1" s="1"/>
  <c r="R73" i="1" s="1"/>
  <c r="M60" i="1" l="1"/>
  <c r="N60" i="1"/>
  <c r="T59" i="1"/>
  <c r="Q74" i="1"/>
  <c r="A75" i="1"/>
  <c r="S73" i="1"/>
  <c r="G74" i="1"/>
  <c r="C74" i="1"/>
  <c r="E74" i="1" s="1"/>
  <c r="B74" i="1" s="1"/>
  <c r="R74" i="1" s="1"/>
  <c r="O60" i="1" l="1"/>
  <c r="L60" i="1" s="1"/>
  <c r="Q75" i="1"/>
  <c r="A76" i="1"/>
  <c r="S74" i="1"/>
  <c r="G75" i="1"/>
  <c r="C75" i="1"/>
  <c r="E75" i="1" s="1"/>
  <c r="B75" i="1"/>
  <c r="R75" i="1" s="1"/>
  <c r="T60" i="1" l="1"/>
  <c r="M61" i="1"/>
  <c r="O61" i="1" s="1"/>
  <c r="L61" i="1" s="1"/>
  <c r="N61" i="1"/>
  <c r="Q76" i="1"/>
  <c r="A77" i="1"/>
  <c r="S75" i="1"/>
  <c r="G76" i="1"/>
  <c r="C76" i="1"/>
  <c r="E76" i="1" s="1"/>
  <c r="B76" i="1" s="1"/>
  <c r="R76" i="1" s="1"/>
  <c r="M62" i="1" l="1"/>
  <c r="O62" i="1" s="1"/>
  <c r="L62" i="1" s="1"/>
  <c r="T61" i="1"/>
  <c r="N62" i="1"/>
  <c r="Q77" i="1"/>
  <c r="A78" i="1"/>
  <c r="S76" i="1"/>
  <c r="G77" i="1"/>
  <c r="C77" i="1"/>
  <c r="E77" i="1" s="1"/>
  <c r="B77" i="1" s="1"/>
  <c r="R77" i="1" s="1"/>
  <c r="M63" i="1" l="1"/>
  <c r="T62" i="1"/>
  <c r="N63" i="1"/>
  <c r="Q78" i="1"/>
  <c r="A79" i="1"/>
  <c r="S77" i="1"/>
  <c r="G78" i="1"/>
  <c r="C78" i="1"/>
  <c r="E78" i="1" s="1"/>
  <c r="B78" i="1" s="1"/>
  <c r="R78" i="1" s="1"/>
  <c r="O63" i="1" l="1"/>
  <c r="L63" i="1" s="1"/>
  <c r="Q79" i="1"/>
  <c r="A80" i="1"/>
  <c r="S78" i="1"/>
  <c r="G79" i="1"/>
  <c r="C79" i="1"/>
  <c r="E79" i="1" s="1"/>
  <c r="B79" i="1" s="1"/>
  <c r="R79" i="1" s="1"/>
  <c r="T63" i="1" l="1"/>
  <c r="N64" i="1"/>
  <c r="M64" i="1"/>
  <c r="O64" i="1" s="1"/>
  <c r="L64" i="1" s="1"/>
  <c r="Q80" i="1"/>
  <c r="A81" i="1"/>
  <c r="S79" i="1"/>
  <c r="G80" i="1"/>
  <c r="C80" i="1"/>
  <c r="E80" i="1" s="1"/>
  <c r="B80" i="1" s="1"/>
  <c r="R80" i="1" s="1"/>
  <c r="T64" i="1" l="1"/>
  <c r="M65" i="1"/>
  <c r="N65" i="1"/>
  <c r="Q81" i="1"/>
  <c r="A82" i="1"/>
  <c r="S80" i="1"/>
  <c r="G81" i="1"/>
  <c r="C81" i="1"/>
  <c r="E81" i="1" s="1"/>
  <c r="B81" i="1" s="1"/>
  <c r="R81" i="1" s="1"/>
  <c r="O65" i="1" l="1"/>
  <c r="L65" i="1" s="1"/>
  <c r="Q82" i="1"/>
  <c r="A83" i="1"/>
  <c r="S81" i="1"/>
  <c r="G82" i="1"/>
  <c r="C82" i="1"/>
  <c r="E82" i="1" s="1"/>
  <c r="B82" i="1" s="1"/>
  <c r="R82" i="1" s="1"/>
  <c r="N66" i="1" l="1"/>
  <c r="M66" i="1"/>
  <c r="O66" i="1" s="1"/>
  <c r="L66" i="1"/>
  <c r="T65" i="1"/>
  <c r="Q83" i="1"/>
  <c r="A84" i="1"/>
  <c r="S82" i="1"/>
  <c r="G83" i="1"/>
  <c r="C83" i="1"/>
  <c r="E83" i="1" s="1"/>
  <c r="B83" i="1" s="1"/>
  <c r="R83" i="1" s="1"/>
  <c r="M67" i="1" l="1"/>
  <c r="N67" i="1"/>
  <c r="T66" i="1"/>
  <c r="Q84" i="1"/>
  <c r="A85" i="1"/>
  <c r="S83" i="1"/>
  <c r="G84" i="1"/>
  <c r="C84" i="1"/>
  <c r="E84" i="1" s="1"/>
  <c r="B84" i="1" s="1"/>
  <c r="R84" i="1" s="1"/>
  <c r="O67" i="1" l="1"/>
  <c r="L67" i="1" s="1"/>
  <c r="Q85" i="1"/>
  <c r="A86" i="1"/>
  <c r="S84" i="1"/>
  <c r="G85" i="1"/>
  <c r="C85" i="1"/>
  <c r="E85" i="1" s="1"/>
  <c r="B85" i="1" s="1"/>
  <c r="R85" i="1" s="1"/>
  <c r="T67" i="1" l="1"/>
  <c r="M68" i="1"/>
  <c r="O68" i="1" s="1"/>
  <c r="L68" i="1" s="1"/>
  <c r="N68" i="1"/>
  <c r="Q86" i="1"/>
  <c r="A87" i="1"/>
  <c r="S85" i="1"/>
  <c r="G86" i="1"/>
  <c r="C86" i="1"/>
  <c r="E86" i="1" s="1"/>
  <c r="B86" i="1" s="1"/>
  <c r="R86" i="1" s="1"/>
  <c r="T68" i="1" l="1"/>
  <c r="N69" i="1"/>
  <c r="M69" i="1"/>
  <c r="O69" i="1" s="1"/>
  <c r="L69" i="1" s="1"/>
  <c r="Q87" i="1"/>
  <c r="A88" i="1"/>
  <c r="S86" i="1"/>
  <c r="G87" i="1"/>
  <c r="C87" i="1"/>
  <c r="E87" i="1" s="1"/>
  <c r="B87" i="1" s="1"/>
  <c r="R87" i="1" s="1"/>
  <c r="T69" i="1" l="1"/>
  <c r="M70" i="1"/>
  <c r="N70" i="1"/>
  <c r="Q88" i="1"/>
  <c r="A89" i="1"/>
  <c r="S87" i="1"/>
  <c r="G88" i="1"/>
  <c r="C88" i="1"/>
  <c r="E88" i="1" s="1"/>
  <c r="B88" i="1" s="1"/>
  <c r="R88" i="1" s="1"/>
  <c r="O70" i="1" l="1"/>
  <c r="L70" i="1" s="1"/>
  <c r="Q89" i="1"/>
  <c r="A90" i="1"/>
  <c r="S88" i="1"/>
  <c r="G89" i="1"/>
  <c r="C89" i="1"/>
  <c r="E89" i="1" s="1"/>
  <c r="B89" i="1" s="1"/>
  <c r="R89" i="1" s="1"/>
  <c r="T70" i="1" l="1"/>
  <c r="N71" i="1"/>
  <c r="M71" i="1"/>
  <c r="O71" i="1" s="1"/>
  <c r="L71" i="1" s="1"/>
  <c r="Q90" i="1"/>
  <c r="A91" i="1"/>
  <c r="S89" i="1"/>
  <c r="G90" i="1"/>
  <c r="C90" i="1"/>
  <c r="E90" i="1" s="1"/>
  <c r="B90" i="1" s="1"/>
  <c r="R90" i="1" s="1"/>
  <c r="M72" i="1" l="1"/>
  <c r="N72" i="1"/>
  <c r="T71" i="1"/>
  <c r="Q91" i="1"/>
  <c r="A92" i="1"/>
  <c r="S90" i="1"/>
  <c r="G91" i="1"/>
  <c r="C91" i="1"/>
  <c r="E91" i="1" s="1"/>
  <c r="B91" i="1" s="1"/>
  <c r="R91" i="1" s="1"/>
  <c r="O72" i="1" l="1"/>
  <c r="L72" i="1" s="1"/>
  <c r="Q92" i="1"/>
  <c r="A93" i="1"/>
  <c r="S91" i="1"/>
  <c r="G92" i="1"/>
  <c r="C92" i="1"/>
  <c r="E92" i="1" s="1"/>
  <c r="B92" i="1" s="1"/>
  <c r="R92" i="1" s="1"/>
  <c r="T72" i="1" l="1"/>
  <c r="N73" i="1"/>
  <c r="M73" i="1"/>
  <c r="O73" i="1" s="1"/>
  <c r="L73" i="1" s="1"/>
  <c r="Q93" i="1"/>
  <c r="A94" i="1"/>
  <c r="S92" i="1"/>
  <c r="G93" i="1"/>
  <c r="C93" i="1"/>
  <c r="E93" i="1" s="1"/>
  <c r="B93" i="1" s="1"/>
  <c r="R93" i="1" s="1"/>
  <c r="M74" i="1" l="1"/>
  <c r="N74" i="1"/>
  <c r="T73" i="1"/>
  <c r="Q94" i="1"/>
  <c r="A95" i="1"/>
  <c r="S93" i="1"/>
  <c r="G94" i="1"/>
  <c r="C94" i="1"/>
  <c r="E94" i="1" s="1"/>
  <c r="B94" i="1" s="1"/>
  <c r="R94" i="1" s="1"/>
  <c r="O74" i="1" l="1"/>
  <c r="L74" i="1" s="1"/>
  <c r="Q95" i="1"/>
  <c r="A96" i="1"/>
  <c r="S94" i="1"/>
  <c r="G95" i="1"/>
  <c r="C95" i="1"/>
  <c r="E95" i="1" s="1"/>
  <c r="B95" i="1" s="1"/>
  <c r="R95" i="1" s="1"/>
  <c r="M75" i="1" l="1"/>
  <c r="O75" i="1" s="1"/>
  <c r="L75" i="1" s="1"/>
  <c r="N75" i="1"/>
  <c r="T74" i="1"/>
  <c r="Q96" i="1"/>
  <c r="A97" i="1"/>
  <c r="S95" i="1"/>
  <c r="G96" i="1"/>
  <c r="C96" i="1"/>
  <c r="E96" i="1" s="1"/>
  <c r="B96" i="1" s="1"/>
  <c r="R96" i="1" s="1"/>
  <c r="M76" i="1" l="1"/>
  <c r="T75" i="1"/>
  <c r="N76" i="1"/>
  <c r="Q97" i="1"/>
  <c r="A98" i="1"/>
  <c r="S96" i="1"/>
  <c r="G97" i="1"/>
  <c r="C97" i="1"/>
  <c r="E97" i="1" s="1"/>
  <c r="B97" i="1" s="1"/>
  <c r="R97" i="1" s="1"/>
  <c r="O76" i="1" l="1"/>
  <c r="L76" i="1" s="1"/>
  <c r="Q98" i="1"/>
  <c r="A99" i="1"/>
  <c r="S97" i="1"/>
  <c r="G98" i="1"/>
  <c r="C98" i="1"/>
  <c r="E98" i="1" s="1"/>
  <c r="B98" i="1" s="1"/>
  <c r="R98" i="1" s="1"/>
  <c r="M77" i="1" l="1"/>
  <c r="N77" i="1"/>
  <c r="T76" i="1"/>
  <c r="Q99" i="1"/>
  <c r="A100" i="1"/>
  <c r="S98" i="1"/>
  <c r="G99" i="1"/>
  <c r="C99" i="1"/>
  <c r="E99" i="1" s="1"/>
  <c r="B99" i="1" s="1"/>
  <c r="R99" i="1" s="1"/>
  <c r="O77" i="1" l="1"/>
  <c r="L77" i="1" s="1"/>
  <c r="Q100" i="1"/>
  <c r="A101" i="1"/>
  <c r="S99" i="1"/>
  <c r="G100" i="1"/>
  <c r="C100" i="1"/>
  <c r="E100" i="1" s="1"/>
  <c r="B100" i="1" s="1"/>
  <c r="R100" i="1" s="1"/>
  <c r="N78" i="1" l="1"/>
  <c r="T77" i="1"/>
  <c r="M78" i="1"/>
  <c r="O78" i="1" s="1"/>
  <c r="L78" i="1" s="1"/>
  <c r="Q101" i="1"/>
  <c r="A102" i="1"/>
  <c r="S100" i="1"/>
  <c r="G101" i="1"/>
  <c r="C101" i="1"/>
  <c r="E101" i="1" s="1"/>
  <c r="B101" i="1" s="1"/>
  <c r="R101" i="1" s="1"/>
  <c r="T78" i="1" l="1"/>
  <c r="M79" i="1"/>
  <c r="O79" i="1" s="1"/>
  <c r="L79" i="1" s="1"/>
  <c r="N79" i="1"/>
  <c r="Q102" i="1"/>
  <c r="A103" i="1"/>
  <c r="S101" i="1"/>
  <c r="G102" i="1"/>
  <c r="C102" i="1"/>
  <c r="E102" i="1" s="1"/>
  <c r="B102" i="1" s="1"/>
  <c r="R102" i="1" s="1"/>
  <c r="N80" i="1" l="1"/>
  <c r="M80" i="1"/>
  <c r="O80" i="1" s="1"/>
  <c r="L80" i="1" s="1"/>
  <c r="T79" i="1"/>
  <c r="Q103" i="1"/>
  <c r="A104" i="1"/>
  <c r="S102" i="1"/>
  <c r="G103" i="1"/>
  <c r="C103" i="1"/>
  <c r="E103" i="1" s="1"/>
  <c r="B103" i="1" s="1"/>
  <c r="R103" i="1" s="1"/>
  <c r="M81" i="1" l="1"/>
  <c r="N81" i="1"/>
  <c r="T80" i="1"/>
  <c r="Q104" i="1"/>
  <c r="A105" i="1"/>
  <c r="S103" i="1"/>
  <c r="G104" i="1"/>
  <c r="C104" i="1"/>
  <c r="E104" i="1" s="1"/>
  <c r="B104" i="1" s="1"/>
  <c r="R104" i="1" s="1"/>
  <c r="O81" i="1" l="1"/>
  <c r="L81" i="1" s="1"/>
  <c r="Q105" i="1"/>
  <c r="A106" i="1"/>
  <c r="S104" i="1"/>
  <c r="G105" i="1"/>
  <c r="C105" i="1"/>
  <c r="E105" i="1" s="1"/>
  <c r="B105" i="1" s="1"/>
  <c r="R105" i="1" s="1"/>
  <c r="T81" i="1" l="1"/>
  <c r="N82" i="1"/>
  <c r="M82" i="1"/>
  <c r="Q106" i="1"/>
  <c r="A107" i="1"/>
  <c r="S105" i="1"/>
  <c r="G106" i="1"/>
  <c r="C106" i="1"/>
  <c r="E106" i="1" s="1"/>
  <c r="B106" i="1" s="1"/>
  <c r="R106" i="1" s="1"/>
  <c r="O82" i="1" l="1"/>
  <c r="L82" i="1" s="1"/>
  <c r="Q107" i="1"/>
  <c r="A108" i="1"/>
  <c r="S106" i="1"/>
  <c r="G107" i="1"/>
  <c r="C107" i="1"/>
  <c r="E107" i="1" s="1"/>
  <c r="B107" i="1" s="1"/>
  <c r="R107" i="1" s="1"/>
  <c r="T82" i="1" l="1"/>
  <c r="N83" i="1"/>
  <c r="M83" i="1"/>
  <c r="O83" i="1" s="1"/>
  <c r="L83" i="1" s="1"/>
  <c r="Q108" i="1"/>
  <c r="A109" i="1"/>
  <c r="S107" i="1"/>
  <c r="G108" i="1"/>
  <c r="C108" i="1"/>
  <c r="E108" i="1" s="1"/>
  <c r="B108" i="1" s="1"/>
  <c r="R108" i="1" s="1"/>
  <c r="M84" i="1" l="1"/>
  <c r="T83" i="1"/>
  <c r="N84" i="1"/>
  <c r="Q109" i="1"/>
  <c r="A110" i="1"/>
  <c r="S108" i="1"/>
  <c r="G109" i="1"/>
  <c r="C109" i="1"/>
  <c r="E109" i="1" s="1"/>
  <c r="B109" i="1" s="1"/>
  <c r="R109" i="1" s="1"/>
  <c r="O84" i="1" l="1"/>
  <c r="L84" i="1" s="1"/>
  <c r="Q110" i="1"/>
  <c r="A111" i="1"/>
  <c r="S109" i="1"/>
  <c r="G110" i="1"/>
  <c r="C110" i="1"/>
  <c r="E110" i="1" s="1"/>
  <c r="B110" i="1" s="1"/>
  <c r="R110" i="1" s="1"/>
  <c r="T84" i="1" l="1"/>
  <c r="M85" i="1"/>
  <c r="O85" i="1" s="1"/>
  <c r="L85" i="1" s="1"/>
  <c r="N85" i="1"/>
  <c r="Q111" i="1"/>
  <c r="A112" i="1"/>
  <c r="S110" i="1"/>
  <c r="G111" i="1"/>
  <c r="C111" i="1"/>
  <c r="E111" i="1" s="1"/>
  <c r="B111" i="1" s="1"/>
  <c r="R111" i="1" s="1"/>
  <c r="T85" i="1" l="1"/>
  <c r="N86" i="1"/>
  <c r="M86" i="1"/>
  <c r="O86" i="1" s="1"/>
  <c r="L86" i="1" s="1"/>
  <c r="Q112" i="1"/>
  <c r="A113" i="1"/>
  <c r="S111" i="1"/>
  <c r="G112" i="1"/>
  <c r="C112" i="1"/>
  <c r="E112" i="1" s="1"/>
  <c r="B112" i="1" s="1"/>
  <c r="R112" i="1" s="1"/>
  <c r="T86" i="1" l="1"/>
  <c r="N87" i="1"/>
  <c r="M87" i="1"/>
  <c r="O87" i="1" s="1"/>
  <c r="L87" i="1" s="1"/>
  <c r="Q113" i="1"/>
  <c r="A114" i="1"/>
  <c r="S112" i="1"/>
  <c r="G113" i="1"/>
  <c r="C113" i="1"/>
  <c r="E113" i="1" s="1"/>
  <c r="B113" i="1" s="1"/>
  <c r="R113" i="1" s="1"/>
  <c r="N88" i="1" l="1"/>
  <c r="M88" i="1"/>
  <c r="O88" i="1" s="1"/>
  <c r="L88" i="1" s="1"/>
  <c r="T87" i="1"/>
  <c r="Q114" i="1"/>
  <c r="A115" i="1"/>
  <c r="S113" i="1"/>
  <c r="G114" i="1"/>
  <c r="C114" i="1"/>
  <c r="E114" i="1" s="1"/>
  <c r="B114" i="1" s="1"/>
  <c r="R114" i="1" s="1"/>
  <c r="M89" i="1" l="1"/>
  <c r="T88" i="1"/>
  <c r="N89" i="1"/>
  <c r="Q115" i="1"/>
  <c r="A116" i="1"/>
  <c r="S114" i="1"/>
  <c r="G115" i="1"/>
  <c r="C115" i="1"/>
  <c r="E115" i="1" s="1"/>
  <c r="B115" i="1" s="1"/>
  <c r="R115" i="1" s="1"/>
  <c r="O89" i="1" l="1"/>
  <c r="L89" i="1" s="1"/>
  <c r="Q116" i="1"/>
  <c r="A117" i="1"/>
  <c r="S115" i="1"/>
  <c r="G116" i="1"/>
  <c r="C116" i="1"/>
  <c r="E116" i="1" s="1"/>
  <c r="B116" i="1" s="1"/>
  <c r="R116" i="1" s="1"/>
  <c r="N90" i="1" l="1"/>
  <c r="M90" i="1"/>
  <c r="O90" i="1" s="1"/>
  <c r="L90" i="1" s="1"/>
  <c r="T89" i="1"/>
  <c r="Q117" i="1"/>
  <c r="A118" i="1"/>
  <c r="S116" i="1"/>
  <c r="G117" i="1"/>
  <c r="C117" i="1"/>
  <c r="E117" i="1" s="1"/>
  <c r="B117" i="1" s="1"/>
  <c r="R117" i="1" s="1"/>
  <c r="N91" i="1" l="1"/>
  <c r="M91" i="1"/>
  <c r="T90" i="1"/>
  <c r="Q118" i="1"/>
  <c r="A119" i="1"/>
  <c r="S117" i="1"/>
  <c r="G118" i="1"/>
  <c r="C118" i="1"/>
  <c r="E118" i="1" s="1"/>
  <c r="B118" i="1" s="1"/>
  <c r="R118" i="1" s="1"/>
  <c r="O91" i="1" l="1"/>
  <c r="L91" i="1" s="1"/>
  <c r="Q119" i="1"/>
  <c r="A120" i="1"/>
  <c r="S118" i="1"/>
  <c r="G119" i="1"/>
  <c r="C119" i="1"/>
  <c r="E119" i="1" s="1"/>
  <c r="B119" i="1" s="1"/>
  <c r="R119" i="1" s="1"/>
  <c r="N92" i="1" l="1"/>
  <c r="M92" i="1"/>
  <c r="T91" i="1"/>
  <c r="Q120" i="1"/>
  <c r="A121" i="1"/>
  <c r="S119" i="1"/>
  <c r="G120" i="1"/>
  <c r="C120" i="1"/>
  <c r="E120" i="1" s="1"/>
  <c r="B120" i="1" s="1"/>
  <c r="R120" i="1" s="1"/>
  <c r="O92" i="1" l="1"/>
  <c r="L92" i="1" s="1"/>
  <c r="Q121" i="1"/>
  <c r="A122" i="1"/>
  <c r="S120" i="1"/>
  <c r="G121" i="1"/>
  <c r="C121" i="1"/>
  <c r="E121" i="1" s="1"/>
  <c r="B121" i="1" s="1"/>
  <c r="R121" i="1" s="1"/>
  <c r="M93" i="1" l="1"/>
  <c r="O93" i="1" s="1"/>
  <c r="L93" i="1" s="1"/>
  <c r="T92" i="1"/>
  <c r="N93" i="1"/>
  <c r="Q122" i="1"/>
  <c r="A123" i="1"/>
  <c r="S121" i="1"/>
  <c r="G122" i="1"/>
  <c r="C122" i="1"/>
  <c r="E122" i="1" s="1"/>
  <c r="B122" i="1" s="1"/>
  <c r="R122" i="1" s="1"/>
  <c r="T93" i="1" l="1"/>
  <c r="N94" i="1"/>
  <c r="M94" i="1"/>
  <c r="Q123" i="1"/>
  <c r="A124" i="1"/>
  <c r="S122" i="1"/>
  <c r="G123" i="1"/>
  <c r="C123" i="1"/>
  <c r="E123" i="1" s="1"/>
  <c r="B123" i="1" s="1"/>
  <c r="R123" i="1" s="1"/>
  <c r="O94" i="1" l="1"/>
  <c r="L94" i="1" s="1"/>
  <c r="Q124" i="1"/>
  <c r="A125" i="1"/>
  <c r="S123" i="1"/>
  <c r="G124" i="1"/>
  <c r="C124" i="1"/>
  <c r="E124" i="1" s="1"/>
  <c r="B124" i="1" s="1"/>
  <c r="R124" i="1" s="1"/>
  <c r="T94" i="1" l="1"/>
  <c r="M95" i="1"/>
  <c r="N95" i="1"/>
  <c r="Q125" i="1"/>
  <c r="A126" i="1"/>
  <c r="S124" i="1"/>
  <c r="G125" i="1"/>
  <c r="C125" i="1"/>
  <c r="E125" i="1" s="1"/>
  <c r="B125" i="1" s="1"/>
  <c r="R125" i="1" s="1"/>
  <c r="O95" i="1" l="1"/>
  <c r="L95" i="1" s="1"/>
  <c r="Q126" i="1"/>
  <c r="A127" i="1"/>
  <c r="S125" i="1"/>
  <c r="G126" i="1"/>
  <c r="C126" i="1"/>
  <c r="E126" i="1" s="1"/>
  <c r="B126" i="1" s="1"/>
  <c r="R126" i="1" s="1"/>
  <c r="T95" i="1" l="1"/>
  <c r="M96" i="1"/>
  <c r="N96" i="1"/>
  <c r="Q127" i="1"/>
  <c r="A128" i="1"/>
  <c r="S126" i="1"/>
  <c r="G127" i="1"/>
  <c r="C127" i="1"/>
  <c r="E127" i="1" s="1"/>
  <c r="B127" i="1" s="1"/>
  <c r="R127" i="1" s="1"/>
  <c r="O96" i="1" l="1"/>
  <c r="L96" i="1" s="1"/>
  <c r="Q128" i="1"/>
  <c r="A129" i="1"/>
  <c r="S127" i="1"/>
  <c r="G128" i="1"/>
  <c r="C128" i="1"/>
  <c r="E128" i="1" s="1"/>
  <c r="B128" i="1" s="1"/>
  <c r="R128" i="1" s="1"/>
  <c r="M97" i="1" l="1"/>
  <c r="N97" i="1"/>
  <c r="T96" i="1"/>
  <c r="Q129" i="1"/>
  <c r="A130" i="1"/>
  <c r="S128" i="1"/>
  <c r="G129" i="1"/>
  <c r="C129" i="1"/>
  <c r="E129" i="1" s="1"/>
  <c r="B129" i="1" s="1"/>
  <c r="R129" i="1" s="1"/>
  <c r="O97" i="1" l="1"/>
  <c r="L97" i="1" s="1"/>
  <c r="Q130" i="1"/>
  <c r="A131" i="1"/>
  <c r="S129" i="1"/>
  <c r="G130" i="1"/>
  <c r="C130" i="1"/>
  <c r="E130" i="1" s="1"/>
  <c r="B130" i="1"/>
  <c r="R130" i="1" s="1"/>
  <c r="M98" i="1" l="1"/>
  <c r="N98" i="1"/>
  <c r="T97" i="1"/>
  <c r="Q131" i="1"/>
  <c r="A132" i="1"/>
  <c r="S130" i="1"/>
  <c r="G131" i="1"/>
  <c r="C131" i="1"/>
  <c r="E131" i="1" s="1"/>
  <c r="B131" i="1" s="1"/>
  <c r="R131" i="1" s="1"/>
  <c r="O98" i="1" l="1"/>
  <c r="L98" i="1" s="1"/>
  <c r="Q132" i="1"/>
  <c r="A133" i="1"/>
  <c r="S131" i="1"/>
  <c r="G132" i="1"/>
  <c r="C132" i="1"/>
  <c r="E132" i="1" s="1"/>
  <c r="B132" i="1" s="1"/>
  <c r="R132" i="1" s="1"/>
  <c r="M99" i="1" l="1"/>
  <c r="N99" i="1"/>
  <c r="T98" i="1"/>
  <c r="Q133" i="1"/>
  <c r="A134" i="1"/>
  <c r="S132" i="1"/>
  <c r="G133" i="1"/>
  <c r="C133" i="1"/>
  <c r="E133" i="1" s="1"/>
  <c r="B133" i="1" s="1"/>
  <c r="R133" i="1" s="1"/>
  <c r="O99" i="1" l="1"/>
  <c r="L99" i="1" s="1"/>
  <c r="Q134" i="1"/>
  <c r="A135" i="1"/>
  <c r="S133" i="1"/>
  <c r="G134" i="1"/>
  <c r="C134" i="1"/>
  <c r="E134" i="1" s="1"/>
  <c r="B134" i="1" s="1"/>
  <c r="R134" i="1" s="1"/>
  <c r="T99" i="1" l="1"/>
  <c r="M100" i="1"/>
  <c r="O100" i="1" s="1"/>
  <c r="L100" i="1" s="1"/>
  <c r="N100" i="1"/>
  <c r="Q135" i="1"/>
  <c r="A136" i="1"/>
  <c r="S134" i="1"/>
  <c r="G135" i="1"/>
  <c r="C135" i="1"/>
  <c r="E135" i="1" s="1"/>
  <c r="B135" i="1" s="1"/>
  <c r="R135" i="1" s="1"/>
  <c r="T100" i="1" l="1"/>
  <c r="M101" i="1"/>
  <c r="N101" i="1"/>
  <c r="Q136" i="1"/>
  <c r="A137" i="1"/>
  <c r="S135" i="1"/>
  <c r="G136" i="1"/>
  <c r="C136" i="1"/>
  <c r="E136" i="1" s="1"/>
  <c r="B136" i="1" s="1"/>
  <c r="R136" i="1" s="1"/>
  <c r="O101" i="1" l="1"/>
  <c r="L101" i="1" s="1"/>
  <c r="Q137" i="1"/>
  <c r="A138" i="1"/>
  <c r="S136" i="1"/>
  <c r="G137" i="1"/>
  <c r="C137" i="1"/>
  <c r="E137" i="1" s="1"/>
  <c r="B137" i="1" s="1"/>
  <c r="R137" i="1" s="1"/>
  <c r="N102" i="1" l="1"/>
  <c r="T101" i="1"/>
  <c r="M102" i="1"/>
  <c r="O102" i="1" s="1"/>
  <c r="L102" i="1" s="1"/>
  <c r="Q138" i="1"/>
  <c r="A139" i="1"/>
  <c r="S137" i="1"/>
  <c r="G138" i="1"/>
  <c r="C138" i="1"/>
  <c r="E138" i="1" s="1"/>
  <c r="B138" i="1" s="1"/>
  <c r="R138" i="1" s="1"/>
  <c r="N103" i="1" l="1"/>
  <c r="T102" i="1"/>
  <c r="M103" i="1"/>
  <c r="O103" i="1" s="1"/>
  <c r="L103" i="1" s="1"/>
  <c r="Q139" i="1"/>
  <c r="A140" i="1"/>
  <c r="S138" i="1"/>
  <c r="G139" i="1"/>
  <c r="C139" i="1"/>
  <c r="E139" i="1" s="1"/>
  <c r="B139" i="1" s="1"/>
  <c r="R139" i="1" s="1"/>
  <c r="M104" i="1" l="1"/>
  <c r="N104" i="1"/>
  <c r="T103" i="1"/>
  <c r="Q140" i="1"/>
  <c r="A141" i="1"/>
  <c r="S139" i="1"/>
  <c r="G140" i="1"/>
  <c r="C140" i="1"/>
  <c r="E140" i="1" s="1"/>
  <c r="B140" i="1" s="1"/>
  <c r="R140" i="1" s="1"/>
  <c r="O104" i="1" l="1"/>
  <c r="L104" i="1" s="1"/>
  <c r="Q141" i="1"/>
  <c r="A142" i="1"/>
  <c r="S140" i="1"/>
  <c r="G141" i="1"/>
  <c r="C141" i="1"/>
  <c r="E141" i="1" s="1"/>
  <c r="B141" i="1" s="1"/>
  <c r="R141" i="1" s="1"/>
  <c r="N105" i="1" l="1"/>
  <c r="T104" i="1"/>
  <c r="M105" i="1"/>
  <c r="O105" i="1" s="1"/>
  <c r="L105" i="1" s="1"/>
  <c r="Q142" i="1"/>
  <c r="A143" i="1"/>
  <c r="S141" i="1"/>
  <c r="G142" i="1"/>
  <c r="C142" i="1"/>
  <c r="E142" i="1" s="1"/>
  <c r="B142" i="1"/>
  <c r="R142" i="1" s="1"/>
  <c r="M106" i="1" l="1"/>
  <c r="N106" i="1"/>
  <c r="T105" i="1"/>
  <c r="Q143" i="1"/>
  <c r="A144" i="1"/>
  <c r="S142" i="1"/>
  <c r="G143" i="1"/>
  <c r="C143" i="1"/>
  <c r="E143" i="1" s="1"/>
  <c r="B143" i="1" s="1"/>
  <c r="R143" i="1" s="1"/>
  <c r="O106" i="1" l="1"/>
  <c r="L106" i="1" s="1"/>
  <c r="Q144" i="1"/>
  <c r="A145" i="1"/>
  <c r="S143" i="1"/>
  <c r="G144" i="1"/>
  <c r="C144" i="1"/>
  <c r="E144" i="1" s="1"/>
  <c r="B144" i="1" s="1"/>
  <c r="R144" i="1" s="1"/>
  <c r="N107" i="1" l="1"/>
  <c r="M107" i="1"/>
  <c r="O107" i="1" s="1"/>
  <c r="L107" i="1" s="1"/>
  <c r="T106" i="1"/>
  <c r="Q145" i="1"/>
  <c r="A146" i="1"/>
  <c r="S144" i="1"/>
  <c r="G145" i="1"/>
  <c r="C145" i="1"/>
  <c r="E145" i="1" s="1"/>
  <c r="B145" i="1" s="1"/>
  <c r="R145" i="1" s="1"/>
  <c r="T107" i="1" l="1"/>
  <c r="M108" i="1"/>
  <c r="N108" i="1"/>
  <c r="Q146" i="1"/>
  <c r="A147" i="1"/>
  <c r="S145" i="1"/>
  <c r="G146" i="1"/>
  <c r="C146" i="1"/>
  <c r="E146" i="1" s="1"/>
  <c r="B146" i="1" s="1"/>
  <c r="R146" i="1" s="1"/>
  <c r="O108" i="1" l="1"/>
  <c r="L108" i="1" s="1"/>
  <c r="Q147" i="1"/>
  <c r="A148" i="1"/>
  <c r="S146" i="1"/>
  <c r="G147" i="1"/>
  <c r="C147" i="1"/>
  <c r="E147" i="1" s="1"/>
  <c r="B147" i="1" s="1"/>
  <c r="R147" i="1" s="1"/>
  <c r="N109" i="1" l="1"/>
  <c r="T108" i="1"/>
  <c r="M109" i="1"/>
  <c r="O109" i="1" s="1"/>
  <c r="L109" i="1" s="1"/>
  <c r="Q148" i="1"/>
  <c r="A149" i="1"/>
  <c r="S147" i="1"/>
  <c r="G148" i="1"/>
  <c r="C148" i="1"/>
  <c r="E148" i="1" s="1"/>
  <c r="B148" i="1" s="1"/>
  <c r="R148" i="1" s="1"/>
  <c r="T109" i="1" l="1"/>
  <c r="M110" i="1"/>
  <c r="N110" i="1"/>
  <c r="O110" i="1" s="1"/>
  <c r="L110" i="1" s="1"/>
  <c r="Q149" i="1"/>
  <c r="A150" i="1"/>
  <c r="S148" i="1"/>
  <c r="G149" i="1"/>
  <c r="C149" i="1"/>
  <c r="E149" i="1" s="1"/>
  <c r="B149" i="1" s="1"/>
  <c r="R149" i="1" s="1"/>
  <c r="T110" i="1" l="1"/>
  <c r="N111" i="1"/>
  <c r="M111" i="1"/>
  <c r="O111" i="1" s="1"/>
  <c r="L111" i="1" s="1"/>
  <c r="Q150" i="1"/>
  <c r="A151" i="1"/>
  <c r="S149" i="1"/>
  <c r="G150" i="1"/>
  <c r="C150" i="1"/>
  <c r="E150" i="1" s="1"/>
  <c r="B150" i="1" s="1"/>
  <c r="R150" i="1" s="1"/>
  <c r="M112" i="1" l="1"/>
  <c r="O112" i="1" s="1"/>
  <c r="L112" i="1" s="1"/>
  <c r="N112" i="1"/>
  <c r="T111" i="1"/>
  <c r="Q151" i="1"/>
  <c r="A152" i="1"/>
  <c r="S150" i="1"/>
  <c r="G151" i="1"/>
  <c r="C151" i="1"/>
  <c r="E151" i="1" s="1"/>
  <c r="B151" i="1" s="1"/>
  <c r="R151" i="1" s="1"/>
  <c r="M113" i="1" l="1"/>
  <c r="O113" i="1" s="1"/>
  <c r="L113" i="1" s="1"/>
  <c r="N113" i="1"/>
  <c r="T112" i="1"/>
  <c r="Q152" i="1"/>
  <c r="A153" i="1"/>
  <c r="S151" i="1"/>
  <c r="G152" i="1"/>
  <c r="C152" i="1"/>
  <c r="E152" i="1" s="1"/>
  <c r="B152" i="1" s="1"/>
  <c r="R152" i="1" s="1"/>
  <c r="T113" i="1" l="1"/>
  <c r="N114" i="1"/>
  <c r="M114" i="1"/>
  <c r="O114" i="1" s="1"/>
  <c r="L114" i="1" s="1"/>
  <c r="Q153" i="1"/>
  <c r="A154" i="1"/>
  <c r="S152" i="1"/>
  <c r="G153" i="1"/>
  <c r="C153" i="1"/>
  <c r="E153" i="1" s="1"/>
  <c r="B153" i="1" s="1"/>
  <c r="R153" i="1" s="1"/>
  <c r="M115" i="1" l="1"/>
  <c r="N115" i="1"/>
  <c r="T114" i="1"/>
  <c r="Q154" i="1"/>
  <c r="A155" i="1"/>
  <c r="S153" i="1"/>
  <c r="G154" i="1"/>
  <c r="C154" i="1"/>
  <c r="E154" i="1" s="1"/>
  <c r="B154" i="1" s="1"/>
  <c r="R154" i="1" s="1"/>
  <c r="O115" i="1" l="1"/>
  <c r="L115" i="1" s="1"/>
  <c r="Q155" i="1"/>
  <c r="A156" i="1"/>
  <c r="S154" i="1"/>
  <c r="G155" i="1"/>
  <c r="C155" i="1"/>
  <c r="E155" i="1" s="1"/>
  <c r="B155" i="1" s="1"/>
  <c r="R155" i="1" s="1"/>
  <c r="M116" i="1" l="1"/>
  <c r="N116" i="1"/>
  <c r="T115" i="1"/>
  <c r="Q156" i="1"/>
  <c r="A157" i="1"/>
  <c r="S155" i="1"/>
  <c r="G156" i="1"/>
  <c r="C156" i="1"/>
  <c r="E156" i="1" s="1"/>
  <c r="B156" i="1" s="1"/>
  <c r="R156" i="1" s="1"/>
  <c r="O116" i="1" l="1"/>
  <c r="L116" i="1" s="1"/>
  <c r="Q157" i="1"/>
  <c r="A158" i="1"/>
  <c r="S156" i="1"/>
  <c r="G157" i="1"/>
  <c r="C157" i="1"/>
  <c r="E157" i="1" s="1"/>
  <c r="B157" i="1" s="1"/>
  <c r="R157" i="1" s="1"/>
  <c r="T116" i="1" l="1"/>
  <c r="N117" i="1"/>
  <c r="M117" i="1"/>
  <c r="O117" i="1" s="1"/>
  <c r="L117" i="1" s="1"/>
  <c r="Q158" i="1"/>
  <c r="A159" i="1"/>
  <c r="S157" i="1"/>
  <c r="G158" i="1"/>
  <c r="C158" i="1"/>
  <c r="E158" i="1" s="1"/>
  <c r="B158" i="1" s="1"/>
  <c r="R158" i="1" s="1"/>
  <c r="M118" i="1" l="1"/>
  <c r="N118" i="1"/>
  <c r="T117" i="1"/>
  <c r="Q159" i="1"/>
  <c r="A160" i="1"/>
  <c r="S158" i="1"/>
  <c r="G159" i="1"/>
  <c r="C159" i="1"/>
  <c r="E159" i="1" s="1"/>
  <c r="B159" i="1" s="1"/>
  <c r="R159" i="1" s="1"/>
  <c r="O118" i="1" l="1"/>
  <c r="L118" i="1" s="1"/>
  <c r="Q160" i="1"/>
  <c r="A161" i="1"/>
  <c r="S159" i="1"/>
  <c r="G160" i="1"/>
  <c r="C160" i="1"/>
  <c r="E160" i="1" s="1"/>
  <c r="B160" i="1" s="1"/>
  <c r="R160" i="1" s="1"/>
  <c r="N119" i="1" l="1"/>
  <c r="M119" i="1"/>
  <c r="O119" i="1" s="1"/>
  <c r="L119" i="1" s="1"/>
  <c r="T118" i="1"/>
  <c r="Q161" i="1"/>
  <c r="A162" i="1"/>
  <c r="S160" i="1"/>
  <c r="G161" i="1"/>
  <c r="C161" i="1"/>
  <c r="E161" i="1" s="1"/>
  <c r="B161" i="1" s="1"/>
  <c r="R161" i="1" s="1"/>
  <c r="T119" i="1" l="1"/>
  <c r="N120" i="1"/>
  <c r="M120" i="1"/>
  <c r="O120" i="1" s="1"/>
  <c r="L120" i="1" s="1"/>
  <c r="Q162" i="1"/>
  <c r="A163" i="1"/>
  <c r="S161" i="1"/>
  <c r="G162" i="1"/>
  <c r="C162" i="1"/>
  <c r="E162" i="1" s="1"/>
  <c r="B162" i="1" s="1"/>
  <c r="R162" i="1" s="1"/>
  <c r="N121" i="1" l="1"/>
  <c r="M121" i="1"/>
  <c r="O121" i="1" s="1"/>
  <c r="L121" i="1" s="1"/>
  <c r="T120" i="1"/>
  <c r="Q163" i="1"/>
  <c r="A164" i="1"/>
  <c r="S162" i="1"/>
  <c r="G163" i="1"/>
  <c r="C163" i="1"/>
  <c r="E163" i="1" s="1"/>
  <c r="B163" i="1" s="1"/>
  <c r="R163" i="1" s="1"/>
  <c r="T121" i="1" l="1"/>
  <c r="M122" i="1"/>
  <c r="N122" i="1"/>
  <c r="Q164" i="1"/>
  <c r="A165" i="1"/>
  <c r="S163" i="1"/>
  <c r="G164" i="1"/>
  <c r="C164" i="1"/>
  <c r="E164" i="1" s="1"/>
  <c r="B164" i="1" s="1"/>
  <c r="R164" i="1" s="1"/>
  <c r="O122" i="1" l="1"/>
  <c r="L122" i="1" s="1"/>
  <c r="Q165" i="1"/>
  <c r="A166" i="1"/>
  <c r="S164" i="1"/>
  <c r="G165" i="1"/>
  <c r="C165" i="1"/>
  <c r="E165" i="1" s="1"/>
  <c r="B165" i="1" s="1"/>
  <c r="R165" i="1" s="1"/>
  <c r="T122" i="1" l="1"/>
  <c r="M123" i="1"/>
  <c r="N123" i="1"/>
  <c r="Q166" i="1"/>
  <c r="A167" i="1"/>
  <c r="S165" i="1"/>
  <c r="G166" i="1"/>
  <c r="C166" i="1"/>
  <c r="E166" i="1" s="1"/>
  <c r="B166" i="1" s="1"/>
  <c r="R166" i="1" s="1"/>
  <c r="O123" i="1" l="1"/>
  <c r="L123" i="1" s="1"/>
  <c r="Q167" i="1"/>
  <c r="A168" i="1"/>
  <c r="S166" i="1"/>
  <c r="G167" i="1"/>
  <c r="C167" i="1"/>
  <c r="E167" i="1" s="1"/>
  <c r="B167" i="1" s="1"/>
  <c r="R167" i="1" s="1"/>
  <c r="N124" i="1" l="1"/>
  <c r="T123" i="1"/>
  <c r="M124" i="1"/>
  <c r="O124" i="1" s="1"/>
  <c r="L124" i="1" s="1"/>
  <c r="Q168" i="1"/>
  <c r="A169" i="1"/>
  <c r="S167" i="1"/>
  <c r="G168" i="1"/>
  <c r="C168" i="1"/>
  <c r="E168" i="1" s="1"/>
  <c r="B168" i="1" s="1"/>
  <c r="R168" i="1" s="1"/>
  <c r="T124" i="1" l="1"/>
  <c r="M125" i="1"/>
  <c r="N125" i="1"/>
  <c r="Q169" i="1"/>
  <c r="A170" i="1"/>
  <c r="S168" i="1"/>
  <c r="G169" i="1"/>
  <c r="C169" i="1"/>
  <c r="E169" i="1" s="1"/>
  <c r="B169" i="1" s="1"/>
  <c r="R169" i="1" s="1"/>
  <c r="O125" i="1" l="1"/>
  <c r="L125" i="1" s="1"/>
  <c r="Q170" i="1"/>
  <c r="A171" i="1"/>
  <c r="S169" i="1"/>
  <c r="G170" i="1"/>
  <c r="C170" i="1"/>
  <c r="E170" i="1" s="1"/>
  <c r="B170" i="1" s="1"/>
  <c r="R170" i="1" s="1"/>
  <c r="M126" i="1" l="1"/>
  <c r="N126" i="1"/>
  <c r="T125" i="1"/>
  <c r="Q171" i="1"/>
  <c r="A172" i="1"/>
  <c r="S170" i="1"/>
  <c r="G171" i="1"/>
  <c r="C171" i="1"/>
  <c r="E171" i="1" s="1"/>
  <c r="B171" i="1"/>
  <c r="R171" i="1" s="1"/>
  <c r="O126" i="1" l="1"/>
  <c r="L126" i="1" s="1"/>
  <c r="Q172" i="1"/>
  <c r="A173" i="1"/>
  <c r="S171" i="1"/>
  <c r="G172" i="1"/>
  <c r="C172" i="1"/>
  <c r="E172" i="1" s="1"/>
  <c r="B172" i="1" s="1"/>
  <c r="R172" i="1" s="1"/>
  <c r="T126" i="1" l="1"/>
  <c r="N127" i="1"/>
  <c r="M127" i="1"/>
  <c r="O127" i="1" s="1"/>
  <c r="L127" i="1" s="1"/>
  <c r="Q173" i="1"/>
  <c r="A174" i="1"/>
  <c r="S172" i="1"/>
  <c r="G173" i="1"/>
  <c r="C173" i="1"/>
  <c r="E173" i="1" s="1"/>
  <c r="B173" i="1" s="1"/>
  <c r="R173" i="1" s="1"/>
  <c r="T127" i="1" l="1"/>
  <c r="N128" i="1"/>
  <c r="M128" i="1"/>
  <c r="O128" i="1" s="1"/>
  <c r="L128" i="1" s="1"/>
  <c r="Q174" i="1"/>
  <c r="A175" i="1"/>
  <c r="S173" i="1"/>
  <c r="G174" i="1"/>
  <c r="C174" i="1"/>
  <c r="E174" i="1" s="1"/>
  <c r="B174" i="1" s="1"/>
  <c r="R174" i="1" s="1"/>
  <c r="N129" i="1" l="1"/>
  <c r="T128" i="1"/>
  <c r="M129" i="1"/>
  <c r="O129" i="1" s="1"/>
  <c r="L129" i="1" s="1"/>
  <c r="Q175" i="1"/>
  <c r="A176" i="1"/>
  <c r="S174" i="1"/>
  <c r="G175" i="1"/>
  <c r="C175" i="1"/>
  <c r="E175" i="1" s="1"/>
  <c r="B175" i="1" s="1"/>
  <c r="R175" i="1" s="1"/>
  <c r="T129" i="1" l="1"/>
  <c r="M130" i="1"/>
  <c r="O130" i="1" s="1"/>
  <c r="L130" i="1" s="1"/>
  <c r="N130" i="1"/>
  <c r="Q176" i="1"/>
  <c r="A177" i="1"/>
  <c r="S175" i="1"/>
  <c r="G176" i="1"/>
  <c r="C176" i="1"/>
  <c r="E176" i="1" s="1"/>
  <c r="B176" i="1" s="1"/>
  <c r="R176" i="1" s="1"/>
  <c r="M131" i="1" l="1"/>
  <c r="T130" i="1"/>
  <c r="N131" i="1"/>
  <c r="Q177" i="1"/>
  <c r="A178" i="1"/>
  <c r="S176" i="1"/>
  <c r="G177" i="1"/>
  <c r="C177" i="1"/>
  <c r="E177" i="1" s="1"/>
  <c r="B177" i="1" s="1"/>
  <c r="R177" i="1" s="1"/>
  <c r="O131" i="1" l="1"/>
  <c r="L131" i="1" s="1"/>
  <c r="Q178" i="1"/>
  <c r="A179" i="1"/>
  <c r="S177" i="1"/>
  <c r="G178" i="1"/>
  <c r="C178" i="1"/>
  <c r="E178" i="1" s="1"/>
  <c r="B178" i="1" s="1"/>
  <c r="R178" i="1" s="1"/>
  <c r="M132" i="1" l="1"/>
  <c r="N132" i="1"/>
  <c r="T131" i="1"/>
  <c r="Q179" i="1"/>
  <c r="A180" i="1"/>
  <c r="S178" i="1"/>
  <c r="G179" i="1"/>
  <c r="C179" i="1"/>
  <c r="E179" i="1" s="1"/>
  <c r="B179" i="1" s="1"/>
  <c r="R179" i="1" s="1"/>
  <c r="O132" i="1" l="1"/>
  <c r="L132" i="1" s="1"/>
  <c r="Q180" i="1"/>
  <c r="A181" i="1"/>
  <c r="S179" i="1"/>
  <c r="G180" i="1"/>
  <c r="C180" i="1"/>
  <c r="E180" i="1" s="1"/>
  <c r="B180" i="1" s="1"/>
  <c r="R180" i="1" s="1"/>
  <c r="N133" i="1" l="1"/>
  <c r="M133" i="1"/>
  <c r="O133" i="1" s="1"/>
  <c r="L133" i="1" s="1"/>
  <c r="T132" i="1"/>
  <c r="Q181" i="1"/>
  <c r="A182" i="1"/>
  <c r="S180" i="1"/>
  <c r="G181" i="1"/>
  <c r="C181" i="1"/>
  <c r="E181" i="1" s="1"/>
  <c r="B181" i="1" s="1"/>
  <c r="R181" i="1" s="1"/>
  <c r="M134" i="1" l="1"/>
  <c r="O134" i="1" s="1"/>
  <c r="L134" i="1" s="1"/>
  <c r="N134" i="1"/>
  <c r="T133" i="1"/>
  <c r="Q182" i="1"/>
  <c r="A183" i="1"/>
  <c r="S181" i="1"/>
  <c r="G182" i="1"/>
  <c r="C182" i="1"/>
  <c r="E182" i="1" s="1"/>
  <c r="B182" i="1" s="1"/>
  <c r="R182" i="1" s="1"/>
  <c r="T134" i="1" l="1"/>
  <c r="M135" i="1"/>
  <c r="N135" i="1"/>
  <c r="Q183" i="1"/>
  <c r="A184" i="1"/>
  <c r="S182" i="1"/>
  <c r="G183" i="1"/>
  <c r="C183" i="1"/>
  <c r="E183" i="1" s="1"/>
  <c r="B183" i="1" s="1"/>
  <c r="R183" i="1" s="1"/>
  <c r="O135" i="1" l="1"/>
  <c r="L135" i="1" s="1"/>
  <c r="Q184" i="1"/>
  <c r="A185" i="1"/>
  <c r="S183" i="1"/>
  <c r="G184" i="1"/>
  <c r="C184" i="1"/>
  <c r="E184" i="1" s="1"/>
  <c r="B184" i="1" s="1"/>
  <c r="R184" i="1" s="1"/>
  <c r="M136" i="1" l="1"/>
  <c r="O136" i="1" s="1"/>
  <c r="L136" i="1" s="1"/>
  <c r="T135" i="1"/>
  <c r="N136" i="1"/>
  <c r="Q185" i="1"/>
  <c r="A186" i="1"/>
  <c r="S184" i="1"/>
  <c r="G185" i="1"/>
  <c r="C185" i="1"/>
  <c r="E185" i="1" s="1"/>
  <c r="B185" i="1" s="1"/>
  <c r="R185" i="1" s="1"/>
  <c r="T136" i="1" l="1"/>
  <c r="N137" i="1"/>
  <c r="M137" i="1"/>
  <c r="Q186" i="1"/>
  <c r="A187" i="1"/>
  <c r="S185" i="1"/>
  <c r="G186" i="1"/>
  <c r="C186" i="1"/>
  <c r="E186" i="1" s="1"/>
  <c r="B186" i="1" s="1"/>
  <c r="R186" i="1" s="1"/>
  <c r="O137" i="1" l="1"/>
  <c r="L137" i="1" s="1"/>
  <c r="Q187" i="1"/>
  <c r="A188" i="1"/>
  <c r="S186" i="1"/>
  <c r="G187" i="1"/>
  <c r="C187" i="1"/>
  <c r="E187" i="1" s="1"/>
  <c r="B187" i="1" s="1"/>
  <c r="R187" i="1" s="1"/>
  <c r="T137" i="1" l="1"/>
  <c r="N138" i="1"/>
  <c r="M138" i="1"/>
  <c r="O138" i="1" s="1"/>
  <c r="L138" i="1" s="1"/>
  <c r="Q188" i="1"/>
  <c r="A189" i="1"/>
  <c r="S187" i="1"/>
  <c r="G188" i="1"/>
  <c r="C188" i="1"/>
  <c r="E188" i="1" s="1"/>
  <c r="B188" i="1"/>
  <c r="R188" i="1" s="1"/>
  <c r="M139" i="1" l="1"/>
  <c r="N139" i="1"/>
  <c r="T138" i="1"/>
  <c r="Q189" i="1"/>
  <c r="A190" i="1"/>
  <c r="S188" i="1"/>
  <c r="G189" i="1"/>
  <c r="C189" i="1"/>
  <c r="E189" i="1" s="1"/>
  <c r="B189" i="1" s="1"/>
  <c r="R189" i="1" s="1"/>
  <c r="O139" i="1" l="1"/>
  <c r="L139" i="1" s="1"/>
  <c r="Q190" i="1"/>
  <c r="A191" i="1"/>
  <c r="S189" i="1"/>
  <c r="G190" i="1"/>
  <c r="C190" i="1"/>
  <c r="E190" i="1" s="1"/>
  <c r="B190" i="1" s="1"/>
  <c r="R190" i="1" s="1"/>
  <c r="T139" i="1" l="1"/>
  <c r="N140" i="1"/>
  <c r="M140" i="1"/>
  <c r="O140" i="1" s="1"/>
  <c r="L140" i="1" s="1"/>
  <c r="Q191" i="1"/>
  <c r="A192" i="1"/>
  <c r="S190" i="1"/>
  <c r="G191" i="1"/>
  <c r="C191" i="1"/>
  <c r="E191" i="1" s="1"/>
  <c r="B191" i="1" s="1"/>
  <c r="R191" i="1" s="1"/>
  <c r="N141" i="1" l="1"/>
  <c r="M141" i="1"/>
  <c r="O141" i="1" s="1"/>
  <c r="L141" i="1" s="1"/>
  <c r="T140" i="1"/>
  <c r="Q192" i="1"/>
  <c r="A193" i="1"/>
  <c r="S191" i="1"/>
  <c r="G192" i="1"/>
  <c r="C192" i="1"/>
  <c r="E192" i="1" s="1"/>
  <c r="B192" i="1" s="1"/>
  <c r="R192" i="1" s="1"/>
  <c r="M142" i="1" l="1"/>
  <c r="O142" i="1" s="1"/>
  <c r="L142" i="1" s="1"/>
  <c r="T141" i="1"/>
  <c r="N142" i="1"/>
  <c r="Q193" i="1"/>
  <c r="A194" i="1"/>
  <c r="S192" i="1"/>
  <c r="G193" i="1"/>
  <c r="C193" i="1"/>
  <c r="E193" i="1" s="1"/>
  <c r="B193" i="1" s="1"/>
  <c r="R193" i="1" s="1"/>
  <c r="M143" i="1" l="1"/>
  <c r="T142" i="1"/>
  <c r="N143" i="1"/>
  <c r="Q194" i="1"/>
  <c r="A195" i="1"/>
  <c r="S193" i="1"/>
  <c r="G194" i="1"/>
  <c r="C194" i="1"/>
  <c r="E194" i="1" s="1"/>
  <c r="B194" i="1" s="1"/>
  <c r="R194" i="1" s="1"/>
  <c r="O143" i="1" l="1"/>
  <c r="L143" i="1" s="1"/>
  <c r="Q195" i="1"/>
  <c r="A196" i="1"/>
  <c r="S194" i="1"/>
  <c r="G195" i="1"/>
  <c r="C195" i="1"/>
  <c r="E195" i="1" s="1"/>
  <c r="B195" i="1" s="1"/>
  <c r="R195" i="1" s="1"/>
  <c r="T143" i="1" l="1"/>
  <c r="N144" i="1"/>
  <c r="M144" i="1"/>
  <c r="O144" i="1" s="1"/>
  <c r="L144" i="1" s="1"/>
  <c r="Q196" i="1"/>
  <c r="A197" i="1"/>
  <c r="S195" i="1"/>
  <c r="G196" i="1"/>
  <c r="C196" i="1"/>
  <c r="E196" i="1" s="1"/>
  <c r="B196" i="1" s="1"/>
  <c r="R196" i="1" s="1"/>
  <c r="T144" i="1" l="1"/>
  <c r="N145" i="1"/>
  <c r="M145" i="1"/>
  <c r="O145" i="1" s="1"/>
  <c r="L145" i="1" s="1"/>
  <c r="Q197" i="1"/>
  <c r="A198" i="1"/>
  <c r="S196" i="1"/>
  <c r="G197" i="1"/>
  <c r="C197" i="1"/>
  <c r="E197" i="1" s="1"/>
  <c r="B197" i="1" s="1"/>
  <c r="R197" i="1" s="1"/>
  <c r="M146" i="1" l="1"/>
  <c r="N146" i="1"/>
  <c r="T145" i="1"/>
  <c r="Q198" i="1"/>
  <c r="A199" i="1"/>
  <c r="S197" i="1"/>
  <c r="G198" i="1"/>
  <c r="C198" i="1"/>
  <c r="E198" i="1" s="1"/>
  <c r="B198" i="1" s="1"/>
  <c r="R198" i="1" s="1"/>
  <c r="O146" i="1" l="1"/>
  <c r="L146" i="1" s="1"/>
  <c r="Q199" i="1"/>
  <c r="A200" i="1"/>
  <c r="S198" i="1"/>
  <c r="G199" i="1"/>
  <c r="C199" i="1"/>
  <c r="E199" i="1" s="1"/>
  <c r="B199" i="1" s="1"/>
  <c r="R199" i="1" s="1"/>
  <c r="M147" i="1" l="1"/>
  <c r="N147" i="1"/>
  <c r="T146" i="1"/>
  <c r="Q200" i="1"/>
  <c r="A201" i="1"/>
  <c r="S199" i="1"/>
  <c r="G200" i="1"/>
  <c r="C200" i="1"/>
  <c r="E200" i="1" s="1"/>
  <c r="B200" i="1" s="1"/>
  <c r="R200" i="1" s="1"/>
  <c r="O147" i="1" l="1"/>
  <c r="L147" i="1" s="1"/>
  <c r="Q201" i="1"/>
  <c r="A202" i="1"/>
  <c r="S200" i="1"/>
  <c r="G201" i="1"/>
  <c r="C201" i="1"/>
  <c r="E201" i="1" s="1"/>
  <c r="B201" i="1" s="1"/>
  <c r="R201" i="1" s="1"/>
  <c r="N148" i="1" l="1"/>
  <c r="M148" i="1"/>
  <c r="T147" i="1"/>
  <c r="Q202" i="1"/>
  <c r="A203" i="1"/>
  <c r="S201" i="1"/>
  <c r="G202" i="1"/>
  <c r="C202" i="1"/>
  <c r="E202" i="1" s="1"/>
  <c r="B202" i="1" s="1"/>
  <c r="R202" i="1" s="1"/>
  <c r="O148" i="1" l="1"/>
  <c r="L148" i="1" s="1"/>
  <c r="Q203" i="1"/>
  <c r="A204" i="1"/>
  <c r="S202" i="1"/>
  <c r="G203" i="1"/>
  <c r="C203" i="1"/>
  <c r="E203" i="1" s="1"/>
  <c r="B203" i="1" s="1"/>
  <c r="R203" i="1" s="1"/>
  <c r="N149" i="1" l="1"/>
  <c r="M149" i="1"/>
  <c r="O149" i="1" s="1"/>
  <c r="L149" i="1" s="1"/>
  <c r="T148" i="1"/>
  <c r="Q204" i="1"/>
  <c r="A205" i="1"/>
  <c r="S203" i="1"/>
  <c r="G204" i="1"/>
  <c r="C204" i="1"/>
  <c r="E204" i="1" s="1"/>
  <c r="B204" i="1" s="1"/>
  <c r="R204" i="1" s="1"/>
  <c r="N150" i="1" l="1"/>
  <c r="M150" i="1"/>
  <c r="T149" i="1"/>
  <c r="Q205" i="1"/>
  <c r="A206" i="1"/>
  <c r="S204" i="1"/>
  <c r="G205" i="1"/>
  <c r="C205" i="1"/>
  <c r="E205" i="1" s="1"/>
  <c r="B205" i="1" s="1"/>
  <c r="R205" i="1" s="1"/>
  <c r="O150" i="1" l="1"/>
  <c r="L150" i="1" s="1"/>
  <c r="Q206" i="1"/>
  <c r="A207" i="1"/>
  <c r="S205" i="1"/>
  <c r="G206" i="1"/>
  <c r="C206" i="1"/>
  <c r="E206" i="1" s="1"/>
  <c r="B206" i="1" s="1"/>
  <c r="R206" i="1" s="1"/>
  <c r="M151" i="1" l="1"/>
  <c r="N151" i="1"/>
  <c r="T150" i="1"/>
  <c r="Q207" i="1"/>
  <c r="A208" i="1"/>
  <c r="S206" i="1"/>
  <c r="G207" i="1"/>
  <c r="C207" i="1"/>
  <c r="E207" i="1" s="1"/>
  <c r="B207" i="1" s="1"/>
  <c r="R207" i="1" s="1"/>
  <c r="O151" i="1" l="1"/>
  <c r="L151" i="1" s="1"/>
  <c r="Q208" i="1"/>
  <c r="A209" i="1"/>
  <c r="S207" i="1"/>
  <c r="G208" i="1"/>
  <c r="C208" i="1"/>
  <c r="E208" i="1" s="1"/>
  <c r="B208" i="1" s="1"/>
  <c r="R208" i="1" s="1"/>
  <c r="N152" i="1" l="1"/>
  <c r="M152" i="1"/>
  <c r="O152" i="1" s="1"/>
  <c r="L152" i="1" s="1"/>
  <c r="T151" i="1"/>
  <c r="Q209" i="1"/>
  <c r="A210" i="1"/>
  <c r="S208" i="1"/>
  <c r="G209" i="1"/>
  <c r="C209" i="1"/>
  <c r="E209" i="1" s="1"/>
  <c r="B209" i="1" s="1"/>
  <c r="R209" i="1" s="1"/>
  <c r="T152" i="1" l="1"/>
  <c r="M153" i="1"/>
  <c r="N153" i="1"/>
  <c r="Q210" i="1"/>
  <c r="A211" i="1"/>
  <c r="S209" i="1"/>
  <c r="G210" i="1"/>
  <c r="C210" i="1"/>
  <c r="E210" i="1" s="1"/>
  <c r="B210" i="1" s="1"/>
  <c r="R210" i="1" s="1"/>
  <c r="O153" i="1" l="1"/>
  <c r="L153" i="1" s="1"/>
  <c r="Q211" i="1"/>
  <c r="A212" i="1"/>
  <c r="S210" i="1"/>
  <c r="G211" i="1"/>
  <c r="C211" i="1"/>
  <c r="E211" i="1" s="1"/>
  <c r="B211" i="1" s="1"/>
  <c r="R211" i="1" s="1"/>
  <c r="M154" i="1" l="1"/>
  <c r="O154" i="1" s="1"/>
  <c r="L154" i="1" s="1"/>
  <c r="N154" i="1"/>
  <c r="T153" i="1"/>
  <c r="Q212" i="1"/>
  <c r="A213" i="1"/>
  <c r="S211" i="1"/>
  <c r="G212" i="1"/>
  <c r="C212" i="1"/>
  <c r="E212" i="1" s="1"/>
  <c r="B212" i="1" s="1"/>
  <c r="R212" i="1" s="1"/>
  <c r="N155" i="1" l="1"/>
  <c r="M155" i="1"/>
  <c r="O155" i="1" s="1"/>
  <c r="L155" i="1" s="1"/>
  <c r="T154" i="1"/>
  <c r="Q213" i="1"/>
  <c r="A214" i="1"/>
  <c r="S212" i="1"/>
  <c r="G213" i="1"/>
  <c r="C213" i="1"/>
  <c r="E213" i="1" s="1"/>
  <c r="B213" i="1" s="1"/>
  <c r="R213" i="1" s="1"/>
  <c r="N156" i="1" l="1"/>
  <c r="T155" i="1"/>
  <c r="M156" i="1"/>
  <c r="Q214" i="1"/>
  <c r="A215" i="1"/>
  <c r="S213" i="1"/>
  <c r="G214" i="1"/>
  <c r="C214" i="1"/>
  <c r="E214" i="1" s="1"/>
  <c r="B214" i="1" s="1"/>
  <c r="R214" i="1" s="1"/>
  <c r="O156" i="1" l="1"/>
  <c r="L156" i="1" s="1"/>
  <c r="Q215" i="1"/>
  <c r="A216" i="1"/>
  <c r="S214" i="1"/>
  <c r="G215" i="1"/>
  <c r="C215" i="1"/>
  <c r="E215" i="1" s="1"/>
  <c r="B215" i="1" s="1"/>
  <c r="R215" i="1" s="1"/>
  <c r="N157" i="1" l="1"/>
  <c r="M157" i="1"/>
  <c r="O157" i="1" s="1"/>
  <c r="L157" i="1" s="1"/>
  <c r="T156" i="1"/>
  <c r="Q216" i="1"/>
  <c r="A217" i="1"/>
  <c r="S215" i="1"/>
  <c r="G216" i="1"/>
  <c r="C216" i="1"/>
  <c r="E216" i="1" s="1"/>
  <c r="B216" i="1" s="1"/>
  <c r="R216" i="1" s="1"/>
  <c r="N158" i="1" l="1"/>
  <c r="T157" i="1"/>
  <c r="M158" i="1"/>
  <c r="O158" i="1" s="1"/>
  <c r="L158" i="1" s="1"/>
  <c r="Q217" i="1"/>
  <c r="A218" i="1"/>
  <c r="S216" i="1"/>
  <c r="G217" i="1"/>
  <c r="C217" i="1"/>
  <c r="E217" i="1" s="1"/>
  <c r="B217" i="1" s="1"/>
  <c r="R217" i="1" s="1"/>
  <c r="M159" i="1" l="1"/>
  <c r="N159" i="1"/>
  <c r="T158" i="1"/>
  <c r="Q218" i="1"/>
  <c r="A219" i="1"/>
  <c r="S217" i="1"/>
  <c r="G218" i="1"/>
  <c r="C218" i="1"/>
  <c r="E218" i="1" s="1"/>
  <c r="B218" i="1"/>
  <c r="R218" i="1" s="1"/>
  <c r="O159" i="1" l="1"/>
  <c r="L159" i="1" s="1"/>
  <c r="Q219" i="1"/>
  <c r="A220" i="1"/>
  <c r="S218" i="1"/>
  <c r="G219" i="1"/>
  <c r="C219" i="1"/>
  <c r="E219" i="1" s="1"/>
  <c r="B219" i="1" s="1"/>
  <c r="R219" i="1" s="1"/>
  <c r="M160" i="1" l="1"/>
  <c r="O160" i="1" s="1"/>
  <c r="L160" i="1" s="1"/>
  <c r="N160" i="1"/>
  <c r="T159" i="1"/>
  <c r="Q220" i="1"/>
  <c r="A221" i="1"/>
  <c r="S219" i="1"/>
  <c r="G220" i="1"/>
  <c r="C220" i="1"/>
  <c r="E220" i="1" s="1"/>
  <c r="B220" i="1" s="1"/>
  <c r="R220" i="1" s="1"/>
  <c r="M161" i="1" l="1"/>
  <c r="N161" i="1"/>
  <c r="T160" i="1"/>
  <c r="Q221" i="1"/>
  <c r="A222" i="1"/>
  <c r="S220" i="1"/>
  <c r="G221" i="1"/>
  <c r="C221" i="1"/>
  <c r="E221" i="1" s="1"/>
  <c r="B221" i="1" s="1"/>
  <c r="R221" i="1" s="1"/>
  <c r="O161" i="1" l="1"/>
  <c r="L161" i="1" s="1"/>
  <c r="Q222" i="1"/>
  <c r="A223" i="1"/>
  <c r="S221" i="1"/>
  <c r="G222" i="1"/>
  <c r="C222" i="1"/>
  <c r="E222" i="1" s="1"/>
  <c r="B222" i="1" s="1"/>
  <c r="R222" i="1" s="1"/>
  <c r="M162" i="1" l="1"/>
  <c r="N162" i="1"/>
  <c r="T161" i="1"/>
  <c r="Q223" i="1"/>
  <c r="A224" i="1"/>
  <c r="S222" i="1"/>
  <c r="G223" i="1"/>
  <c r="C223" i="1"/>
  <c r="E223" i="1" s="1"/>
  <c r="B223" i="1" s="1"/>
  <c r="R223" i="1" s="1"/>
  <c r="O162" i="1" l="1"/>
  <c r="L162" i="1" s="1"/>
  <c r="Q224" i="1"/>
  <c r="A225" i="1"/>
  <c r="S223" i="1"/>
  <c r="G224" i="1"/>
  <c r="C224" i="1"/>
  <c r="E224" i="1" s="1"/>
  <c r="B224" i="1" s="1"/>
  <c r="R224" i="1" s="1"/>
  <c r="T162" i="1" l="1"/>
  <c r="N163" i="1"/>
  <c r="M163" i="1"/>
  <c r="O163" i="1" s="1"/>
  <c r="L163" i="1" s="1"/>
  <c r="Q225" i="1"/>
  <c r="A226" i="1"/>
  <c r="S224" i="1"/>
  <c r="G225" i="1"/>
  <c r="C225" i="1"/>
  <c r="E225" i="1" s="1"/>
  <c r="B225" i="1" s="1"/>
  <c r="R225" i="1" s="1"/>
  <c r="N164" i="1" l="1"/>
  <c r="T163" i="1"/>
  <c r="M164" i="1"/>
  <c r="Q226" i="1"/>
  <c r="A227" i="1"/>
  <c r="S225" i="1"/>
  <c r="G226" i="1"/>
  <c r="C226" i="1"/>
  <c r="E226" i="1" s="1"/>
  <c r="B226" i="1" s="1"/>
  <c r="R226" i="1" s="1"/>
  <c r="O164" i="1" l="1"/>
  <c r="L164" i="1" s="1"/>
  <c r="Q227" i="1"/>
  <c r="A228" i="1"/>
  <c r="S226" i="1"/>
  <c r="G227" i="1"/>
  <c r="C227" i="1"/>
  <c r="E227" i="1" s="1"/>
  <c r="B227" i="1" s="1"/>
  <c r="R227" i="1" s="1"/>
  <c r="M165" i="1" l="1"/>
  <c r="T164" i="1"/>
  <c r="N165" i="1"/>
  <c r="Q228" i="1"/>
  <c r="A229" i="1"/>
  <c r="S227" i="1"/>
  <c r="G228" i="1"/>
  <c r="C228" i="1"/>
  <c r="E228" i="1" s="1"/>
  <c r="B228" i="1" s="1"/>
  <c r="R228" i="1" s="1"/>
  <c r="O165" i="1" l="1"/>
  <c r="L165" i="1" s="1"/>
  <c r="Q229" i="1"/>
  <c r="A230" i="1"/>
  <c r="S228" i="1"/>
  <c r="G229" i="1"/>
  <c r="C229" i="1"/>
  <c r="E229" i="1" s="1"/>
  <c r="B229" i="1" s="1"/>
  <c r="R229" i="1" s="1"/>
  <c r="N166" i="1" l="1"/>
  <c r="M166" i="1"/>
  <c r="T165" i="1"/>
  <c r="Q230" i="1"/>
  <c r="A231" i="1"/>
  <c r="S229" i="1"/>
  <c r="G230" i="1"/>
  <c r="C230" i="1"/>
  <c r="E230" i="1" s="1"/>
  <c r="B230" i="1" s="1"/>
  <c r="R230" i="1" s="1"/>
  <c r="O166" i="1" l="1"/>
  <c r="L166" i="1" s="1"/>
  <c r="Q231" i="1"/>
  <c r="A232" i="1"/>
  <c r="S230" i="1"/>
  <c r="G231" i="1"/>
  <c r="C231" i="1"/>
  <c r="E231" i="1" s="1"/>
  <c r="B231" i="1" s="1"/>
  <c r="R231" i="1" s="1"/>
  <c r="M167" i="1" l="1"/>
  <c r="T166" i="1"/>
  <c r="N167" i="1"/>
  <c r="Q232" i="1"/>
  <c r="A233" i="1"/>
  <c r="S231" i="1"/>
  <c r="G232" i="1"/>
  <c r="C232" i="1"/>
  <c r="E232" i="1" s="1"/>
  <c r="B232" i="1" s="1"/>
  <c r="R232" i="1" s="1"/>
  <c r="O167" i="1" l="1"/>
  <c r="L167" i="1" s="1"/>
  <c r="Q233" i="1"/>
  <c r="A234" i="1"/>
  <c r="S232" i="1"/>
  <c r="G233" i="1"/>
  <c r="C233" i="1"/>
  <c r="E233" i="1" s="1"/>
  <c r="B233" i="1" s="1"/>
  <c r="R233" i="1" s="1"/>
  <c r="M168" i="1" l="1"/>
  <c r="T167" i="1"/>
  <c r="N168" i="1"/>
  <c r="Q234" i="1"/>
  <c r="A235" i="1"/>
  <c r="S233" i="1"/>
  <c r="G234" i="1"/>
  <c r="C234" i="1"/>
  <c r="E234" i="1" s="1"/>
  <c r="B234" i="1" s="1"/>
  <c r="R234" i="1" s="1"/>
  <c r="O168" i="1" l="1"/>
  <c r="L168" i="1" s="1"/>
  <c r="Q235" i="1"/>
  <c r="A236" i="1"/>
  <c r="S234" i="1"/>
  <c r="G235" i="1"/>
  <c r="C235" i="1"/>
  <c r="E235" i="1" s="1"/>
  <c r="B235" i="1" s="1"/>
  <c r="R235" i="1" s="1"/>
  <c r="T168" i="1" l="1"/>
  <c r="M169" i="1"/>
  <c r="N169" i="1"/>
  <c r="Q236" i="1"/>
  <c r="A237" i="1"/>
  <c r="S235" i="1"/>
  <c r="G236" i="1"/>
  <c r="C236" i="1"/>
  <c r="E236" i="1" s="1"/>
  <c r="B236" i="1" s="1"/>
  <c r="R236" i="1" s="1"/>
  <c r="O169" i="1" l="1"/>
  <c r="L169" i="1" s="1"/>
  <c r="Q237" i="1"/>
  <c r="A238" i="1"/>
  <c r="S236" i="1"/>
  <c r="G237" i="1"/>
  <c r="C237" i="1"/>
  <c r="E237" i="1" s="1"/>
  <c r="B237" i="1" s="1"/>
  <c r="R237" i="1" s="1"/>
  <c r="T169" i="1" l="1"/>
  <c r="N170" i="1"/>
  <c r="M170" i="1"/>
  <c r="O170" i="1" s="1"/>
  <c r="L170" i="1" s="1"/>
  <c r="Q238" i="1"/>
  <c r="A239" i="1"/>
  <c r="S237" i="1"/>
  <c r="G238" i="1"/>
  <c r="C238" i="1"/>
  <c r="E238" i="1" s="1"/>
  <c r="B238" i="1" s="1"/>
  <c r="R238" i="1" s="1"/>
  <c r="T170" i="1" l="1"/>
  <c r="N171" i="1"/>
  <c r="M171" i="1"/>
  <c r="O171" i="1" s="1"/>
  <c r="L171" i="1" s="1"/>
  <c r="Q239" i="1"/>
  <c r="A240" i="1"/>
  <c r="S238" i="1"/>
  <c r="G239" i="1"/>
  <c r="C239" i="1"/>
  <c r="E239" i="1" s="1"/>
  <c r="B239" i="1" s="1"/>
  <c r="R239" i="1" s="1"/>
  <c r="M172" i="1" l="1"/>
  <c r="N172" i="1"/>
  <c r="T171" i="1"/>
  <c r="Q240" i="1"/>
  <c r="A241" i="1"/>
  <c r="S239" i="1"/>
  <c r="G240" i="1"/>
  <c r="C240" i="1"/>
  <c r="E240" i="1" s="1"/>
  <c r="B240" i="1" s="1"/>
  <c r="R240" i="1" s="1"/>
  <c r="O172" i="1" l="1"/>
  <c r="L172" i="1" s="1"/>
  <c r="Q241" i="1"/>
  <c r="A242" i="1"/>
  <c r="S240" i="1"/>
  <c r="G241" i="1"/>
  <c r="C241" i="1"/>
  <c r="E241" i="1" s="1"/>
  <c r="B241" i="1" s="1"/>
  <c r="R241" i="1" s="1"/>
  <c r="T172" i="1" l="1"/>
  <c r="N173" i="1"/>
  <c r="M173" i="1"/>
  <c r="O173" i="1" s="1"/>
  <c r="L173" i="1" s="1"/>
  <c r="Q242" i="1"/>
  <c r="A243" i="1"/>
  <c r="S241" i="1"/>
  <c r="G242" i="1"/>
  <c r="C242" i="1"/>
  <c r="E242" i="1" s="1"/>
  <c r="B242" i="1" s="1"/>
  <c r="R242" i="1" s="1"/>
  <c r="T173" i="1" l="1"/>
  <c r="N174" i="1"/>
  <c r="M174" i="1"/>
  <c r="O174" i="1" s="1"/>
  <c r="L174" i="1" s="1"/>
  <c r="Q243" i="1"/>
  <c r="A244" i="1"/>
  <c r="S242" i="1"/>
  <c r="G243" i="1"/>
  <c r="C243" i="1"/>
  <c r="E243" i="1" s="1"/>
  <c r="B243" i="1" s="1"/>
  <c r="R243" i="1" s="1"/>
  <c r="M175" i="1" l="1"/>
  <c r="N175" i="1"/>
  <c r="T174" i="1"/>
  <c r="Q244" i="1"/>
  <c r="A245" i="1"/>
  <c r="S243" i="1"/>
  <c r="G244" i="1"/>
  <c r="C244" i="1"/>
  <c r="E244" i="1" s="1"/>
  <c r="B244" i="1" s="1"/>
  <c r="R244" i="1" s="1"/>
  <c r="O175" i="1" l="1"/>
  <c r="L175" i="1" s="1"/>
  <c r="Q245" i="1"/>
  <c r="A246" i="1"/>
  <c r="S244" i="1"/>
  <c r="G245" i="1"/>
  <c r="C245" i="1"/>
  <c r="E245" i="1" s="1"/>
  <c r="B245" i="1" s="1"/>
  <c r="R245" i="1" s="1"/>
  <c r="M176" i="1" l="1"/>
  <c r="O176" i="1" s="1"/>
  <c r="L176" i="1" s="1"/>
  <c r="T175" i="1"/>
  <c r="N176" i="1"/>
  <c r="Q246" i="1"/>
  <c r="A247" i="1"/>
  <c r="S245" i="1"/>
  <c r="G246" i="1"/>
  <c r="C246" i="1"/>
  <c r="E246" i="1" s="1"/>
  <c r="B246" i="1" s="1"/>
  <c r="R246" i="1" s="1"/>
  <c r="N177" i="1" l="1"/>
  <c r="T176" i="1"/>
  <c r="M177" i="1"/>
  <c r="O177" i="1" s="1"/>
  <c r="L177" i="1" s="1"/>
  <c r="Q247" i="1"/>
  <c r="A248" i="1"/>
  <c r="S246" i="1"/>
  <c r="G247" i="1"/>
  <c r="C247" i="1"/>
  <c r="E247" i="1" s="1"/>
  <c r="B247" i="1" s="1"/>
  <c r="R247" i="1" s="1"/>
  <c r="M178" i="1" l="1"/>
  <c r="T177" i="1"/>
  <c r="N178" i="1"/>
  <c r="Q248" i="1"/>
  <c r="A249" i="1"/>
  <c r="S247" i="1"/>
  <c r="G248" i="1"/>
  <c r="C248" i="1"/>
  <c r="E248" i="1" s="1"/>
  <c r="B248" i="1" s="1"/>
  <c r="R248" i="1" s="1"/>
  <c r="O178" i="1" l="1"/>
  <c r="L178" i="1" s="1"/>
  <c r="Q249" i="1"/>
  <c r="A250" i="1"/>
  <c r="S248" i="1"/>
  <c r="G249" i="1"/>
  <c r="C249" i="1"/>
  <c r="E249" i="1" s="1"/>
  <c r="B249" i="1" s="1"/>
  <c r="R249" i="1" s="1"/>
  <c r="M179" i="1" l="1"/>
  <c r="T178" i="1"/>
  <c r="N179" i="1"/>
  <c r="Q250" i="1"/>
  <c r="A251" i="1"/>
  <c r="S249" i="1"/>
  <c r="G250" i="1"/>
  <c r="C250" i="1"/>
  <c r="E250" i="1" s="1"/>
  <c r="B250" i="1" s="1"/>
  <c r="R250" i="1" s="1"/>
  <c r="O179" i="1" l="1"/>
  <c r="L179" i="1" s="1"/>
  <c r="Q251" i="1"/>
  <c r="A252" i="1"/>
  <c r="S250" i="1"/>
  <c r="G251" i="1"/>
  <c r="C251" i="1"/>
  <c r="E251" i="1" s="1"/>
  <c r="B251" i="1" s="1"/>
  <c r="R251" i="1" s="1"/>
  <c r="M180" i="1" l="1"/>
  <c r="O180" i="1" s="1"/>
  <c r="L180" i="1" s="1"/>
  <c r="N180" i="1"/>
  <c r="T179" i="1"/>
  <c r="Q252" i="1"/>
  <c r="A253" i="1"/>
  <c r="S251" i="1"/>
  <c r="G252" i="1"/>
  <c r="C252" i="1"/>
  <c r="E252" i="1" s="1"/>
  <c r="B252" i="1" s="1"/>
  <c r="R252" i="1" s="1"/>
  <c r="M181" i="1" l="1"/>
  <c r="N181" i="1"/>
  <c r="T180" i="1"/>
  <c r="Q253" i="1"/>
  <c r="A254" i="1"/>
  <c r="S252" i="1"/>
  <c r="G253" i="1"/>
  <c r="C253" i="1"/>
  <c r="E253" i="1" s="1"/>
  <c r="B253" i="1" s="1"/>
  <c r="R253" i="1" s="1"/>
  <c r="O181" i="1" l="1"/>
  <c r="L181" i="1" s="1"/>
  <c r="Q254" i="1"/>
  <c r="A255" i="1"/>
  <c r="S253" i="1"/>
  <c r="G254" i="1"/>
  <c r="C254" i="1"/>
  <c r="E254" i="1" s="1"/>
  <c r="B254" i="1" s="1"/>
  <c r="R254" i="1" s="1"/>
  <c r="M182" i="1" l="1"/>
  <c r="O182" i="1" s="1"/>
  <c r="L182" i="1" s="1"/>
  <c r="T181" i="1"/>
  <c r="N182" i="1"/>
  <c r="Q255" i="1"/>
  <c r="A256" i="1"/>
  <c r="S254" i="1"/>
  <c r="G255" i="1"/>
  <c r="C255" i="1"/>
  <c r="E255" i="1" s="1"/>
  <c r="B255" i="1" s="1"/>
  <c r="R255" i="1" s="1"/>
  <c r="T182" i="1" l="1"/>
  <c r="N183" i="1"/>
  <c r="M183" i="1"/>
  <c r="O183" i="1" s="1"/>
  <c r="L183" i="1" s="1"/>
  <c r="Q256" i="1"/>
  <c r="A257" i="1"/>
  <c r="S255" i="1"/>
  <c r="G256" i="1"/>
  <c r="C256" i="1"/>
  <c r="E256" i="1" s="1"/>
  <c r="B256" i="1" s="1"/>
  <c r="R256" i="1" s="1"/>
  <c r="M184" i="1" l="1"/>
  <c r="O184" i="1" s="1"/>
  <c r="L184" i="1" s="1"/>
  <c r="T183" i="1"/>
  <c r="N184" i="1"/>
  <c r="Q257" i="1"/>
  <c r="A258" i="1"/>
  <c r="S256" i="1"/>
  <c r="G257" i="1"/>
  <c r="C257" i="1"/>
  <c r="E257" i="1" s="1"/>
  <c r="B257" i="1" s="1"/>
  <c r="R257" i="1" s="1"/>
  <c r="M185" i="1" l="1"/>
  <c r="T184" i="1"/>
  <c r="N185" i="1"/>
  <c r="Q258" i="1"/>
  <c r="A259" i="1"/>
  <c r="S257" i="1"/>
  <c r="G258" i="1"/>
  <c r="C258" i="1"/>
  <c r="E258" i="1" s="1"/>
  <c r="B258" i="1" s="1"/>
  <c r="R258" i="1" s="1"/>
  <c r="O185" i="1" l="1"/>
  <c r="L185" i="1" s="1"/>
  <c r="Q259" i="1"/>
  <c r="A260" i="1"/>
  <c r="S258" i="1"/>
  <c r="G259" i="1"/>
  <c r="C259" i="1"/>
  <c r="E259" i="1" s="1"/>
  <c r="B259" i="1" s="1"/>
  <c r="R259" i="1" s="1"/>
  <c r="M186" i="1" l="1"/>
  <c r="T185" i="1"/>
  <c r="N186" i="1"/>
  <c r="Q260" i="1"/>
  <c r="A261" i="1"/>
  <c r="S259" i="1"/>
  <c r="G260" i="1"/>
  <c r="C260" i="1"/>
  <c r="E260" i="1" s="1"/>
  <c r="B260" i="1" s="1"/>
  <c r="R260" i="1" s="1"/>
  <c r="O186" i="1" l="1"/>
  <c r="L186" i="1" s="1"/>
  <c r="Q261" i="1"/>
  <c r="A262" i="1"/>
  <c r="S260" i="1"/>
  <c r="G261" i="1"/>
  <c r="C261" i="1"/>
  <c r="E261" i="1" s="1"/>
  <c r="B261" i="1" s="1"/>
  <c r="R261" i="1" s="1"/>
  <c r="T186" i="1" l="1"/>
  <c r="N187" i="1"/>
  <c r="M187" i="1"/>
  <c r="Q262" i="1"/>
  <c r="A263" i="1"/>
  <c r="S261" i="1"/>
  <c r="G262" i="1"/>
  <c r="C262" i="1"/>
  <c r="E262" i="1" s="1"/>
  <c r="B262" i="1" s="1"/>
  <c r="R262" i="1" s="1"/>
  <c r="O187" i="1" l="1"/>
  <c r="L187" i="1" s="1"/>
  <c r="Q263" i="1"/>
  <c r="A264" i="1"/>
  <c r="S262" i="1"/>
  <c r="G263" i="1"/>
  <c r="C263" i="1"/>
  <c r="E263" i="1" s="1"/>
  <c r="B263" i="1" s="1"/>
  <c r="R263" i="1" s="1"/>
  <c r="M188" i="1" l="1"/>
  <c r="O188" i="1" s="1"/>
  <c r="L188" i="1" s="1"/>
  <c r="N188" i="1"/>
  <c r="T187" i="1"/>
  <c r="Q264" i="1"/>
  <c r="A265" i="1"/>
  <c r="S263" i="1"/>
  <c r="G264" i="1"/>
  <c r="C264" i="1"/>
  <c r="E264" i="1" s="1"/>
  <c r="B264" i="1" s="1"/>
  <c r="R264" i="1" s="1"/>
  <c r="T188" i="1" l="1"/>
  <c r="N189" i="1"/>
  <c r="M189" i="1"/>
  <c r="O189" i="1" s="1"/>
  <c r="L189" i="1" s="1"/>
  <c r="Q265" i="1"/>
  <c r="A266" i="1"/>
  <c r="S264" i="1"/>
  <c r="G265" i="1"/>
  <c r="C265" i="1"/>
  <c r="E265" i="1" s="1"/>
  <c r="B265" i="1" s="1"/>
  <c r="R265" i="1" s="1"/>
  <c r="T189" i="1" l="1"/>
  <c r="M190" i="1"/>
  <c r="N190" i="1"/>
  <c r="Q266" i="1"/>
  <c r="A267" i="1"/>
  <c r="S265" i="1"/>
  <c r="G266" i="1"/>
  <c r="C266" i="1"/>
  <c r="E266" i="1" s="1"/>
  <c r="B266" i="1" s="1"/>
  <c r="R266" i="1" s="1"/>
  <c r="O190" i="1" l="1"/>
  <c r="L190" i="1" s="1"/>
  <c r="Q267" i="1"/>
  <c r="A268" i="1"/>
  <c r="S266" i="1"/>
  <c r="G267" i="1"/>
  <c r="C267" i="1"/>
  <c r="E267" i="1" s="1"/>
  <c r="B267" i="1" s="1"/>
  <c r="R267" i="1" s="1"/>
  <c r="T190" i="1" l="1"/>
  <c r="N191" i="1"/>
  <c r="M191" i="1"/>
  <c r="O191" i="1" s="1"/>
  <c r="L191" i="1" s="1"/>
  <c r="Q268" i="1"/>
  <c r="A269" i="1"/>
  <c r="S267" i="1"/>
  <c r="G268" i="1"/>
  <c r="C268" i="1"/>
  <c r="E268" i="1" s="1"/>
  <c r="B268" i="1" s="1"/>
  <c r="R268" i="1" s="1"/>
  <c r="T191" i="1" l="1"/>
  <c r="M192" i="1"/>
  <c r="N192" i="1"/>
  <c r="Q269" i="1"/>
  <c r="A270" i="1"/>
  <c r="S268" i="1"/>
  <c r="G269" i="1"/>
  <c r="C269" i="1"/>
  <c r="E269" i="1" s="1"/>
  <c r="B269" i="1" s="1"/>
  <c r="R269" i="1" s="1"/>
  <c r="O192" i="1" l="1"/>
  <c r="L192" i="1" s="1"/>
  <c r="Q270" i="1"/>
  <c r="A271" i="1"/>
  <c r="S269" i="1"/>
  <c r="G270" i="1"/>
  <c r="C270" i="1"/>
  <c r="E270" i="1" s="1"/>
  <c r="B270" i="1" s="1"/>
  <c r="R270" i="1" s="1"/>
  <c r="N193" i="1" l="1"/>
  <c r="M193" i="1"/>
  <c r="O193" i="1" s="1"/>
  <c r="L193" i="1" s="1"/>
  <c r="T192" i="1"/>
  <c r="Q271" i="1"/>
  <c r="A272" i="1"/>
  <c r="S270" i="1"/>
  <c r="G271" i="1"/>
  <c r="C271" i="1"/>
  <c r="E271" i="1" s="1"/>
  <c r="B271" i="1" s="1"/>
  <c r="R271" i="1" s="1"/>
  <c r="T193" i="1" l="1"/>
  <c r="N194" i="1"/>
  <c r="M194" i="1"/>
  <c r="O194" i="1" s="1"/>
  <c r="L194" i="1" s="1"/>
  <c r="Q272" i="1"/>
  <c r="A273" i="1"/>
  <c r="S271" i="1"/>
  <c r="G272" i="1"/>
  <c r="C272" i="1"/>
  <c r="E272" i="1" s="1"/>
  <c r="B272" i="1" s="1"/>
  <c r="R272" i="1" s="1"/>
  <c r="N195" i="1" l="1"/>
  <c r="M195" i="1"/>
  <c r="O195" i="1" s="1"/>
  <c r="L195" i="1" s="1"/>
  <c r="T194" i="1"/>
  <c r="Q273" i="1"/>
  <c r="A274" i="1"/>
  <c r="S272" i="1"/>
  <c r="G273" i="1"/>
  <c r="C273" i="1"/>
  <c r="E273" i="1" s="1"/>
  <c r="B273" i="1" s="1"/>
  <c r="R273" i="1" s="1"/>
  <c r="M196" i="1" l="1"/>
  <c r="N196" i="1"/>
  <c r="T195" i="1"/>
  <c r="Q274" i="1"/>
  <c r="A275" i="1"/>
  <c r="S273" i="1"/>
  <c r="G274" i="1"/>
  <c r="C274" i="1"/>
  <c r="E274" i="1" s="1"/>
  <c r="B274" i="1"/>
  <c r="R274" i="1" s="1"/>
  <c r="O196" i="1" l="1"/>
  <c r="L196" i="1" s="1"/>
  <c r="Q275" i="1"/>
  <c r="A276" i="1"/>
  <c r="S274" i="1"/>
  <c r="G275" i="1"/>
  <c r="C275" i="1"/>
  <c r="E275" i="1" s="1"/>
  <c r="B275" i="1" s="1"/>
  <c r="R275" i="1" s="1"/>
  <c r="M197" i="1" l="1"/>
  <c r="N197" i="1"/>
  <c r="T196" i="1"/>
  <c r="Q276" i="1"/>
  <c r="A277" i="1"/>
  <c r="S275" i="1"/>
  <c r="G276" i="1"/>
  <c r="C276" i="1"/>
  <c r="E276" i="1" s="1"/>
  <c r="B276" i="1" s="1"/>
  <c r="R276" i="1" s="1"/>
  <c r="O197" i="1" l="1"/>
  <c r="L197" i="1" s="1"/>
  <c r="Q277" i="1"/>
  <c r="A278" i="1"/>
  <c r="S276" i="1"/>
  <c r="G277" i="1"/>
  <c r="C277" i="1"/>
  <c r="E277" i="1" s="1"/>
  <c r="B277" i="1" s="1"/>
  <c r="R277" i="1" s="1"/>
  <c r="T197" i="1" l="1"/>
  <c r="M198" i="1"/>
  <c r="N198" i="1"/>
  <c r="Q278" i="1"/>
  <c r="A279" i="1"/>
  <c r="S277" i="1"/>
  <c r="G278" i="1"/>
  <c r="C278" i="1"/>
  <c r="E278" i="1" s="1"/>
  <c r="B278" i="1" s="1"/>
  <c r="R278" i="1" s="1"/>
  <c r="O198" i="1" l="1"/>
  <c r="L198" i="1" s="1"/>
  <c r="Q279" i="1"/>
  <c r="A280" i="1"/>
  <c r="S278" i="1"/>
  <c r="G279" i="1"/>
  <c r="C279" i="1"/>
  <c r="E279" i="1" s="1"/>
  <c r="B279" i="1"/>
  <c r="R279" i="1" s="1"/>
  <c r="T198" i="1" l="1"/>
  <c r="M199" i="1"/>
  <c r="N199" i="1"/>
  <c r="Q280" i="1"/>
  <c r="A281" i="1"/>
  <c r="S279" i="1"/>
  <c r="G280" i="1"/>
  <c r="C280" i="1"/>
  <c r="E280" i="1" s="1"/>
  <c r="B280" i="1" s="1"/>
  <c r="R280" i="1" s="1"/>
  <c r="O199" i="1" l="1"/>
  <c r="L199" i="1" s="1"/>
  <c r="Q281" i="1"/>
  <c r="A282" i="1"/>
  <c r="S280" i="1"/>
  <c r="G281" i="1"/>
  <c r="C281" i="1"/>
  <c r="E281" i="1" s="1"/>
  <c r="B281" i="1" s="1"/>
  <c r="R281" i="1" s="1"/>
  <c r="M200" i="1" l="1"/>
  <c r="O200" i="1" s="1"/>
  <c r="L200" i="1" s="1"/>
  <c r="N200" i="1"/>
  <c r="T199" i="1"/>
  <c r="Q282" i="1"/>
  <c r="A283" i="1"/>
  <c r="S281" i="1"/>
  <c r="G282" i="1"/>
  <c r="C282" i="1"/>
  <c r="E282" i="1" s="1"/>
  <c r="B282" i="1" s="1"/>
  <c r="R282" i="1" s="1"/>
  <c r="T200" i="1" l="1"/>
  <c r="M201" i="1"/>
  <c r="O201" i="1" s="1"/>
  <c r="L201" i="1" s="1"/>
  <c r="N201" i="1"/>
  <c r="Q283" i="1"/>
  <c r="A284" i="1"/>
  <c r="S282" i="1"/>
  <c r="G283" i="1"/>
  <c r="C283" i="1"/>
  <c r="E283" i="1" s="1"/>
  <c r="B283" i="1" s="1"/>
  <c r="R283" i="1" s="1"/>
  <c r="M202" i="1" l="1"/>
  <c r="N202" i="1"/>
  <c r="T201" i="1"/>
  <c r="Q284" i="1"/>
  <c r="A285" i="1"/>
  <c r="S283" i="1"/>
  <c r="G284" i="1"/>
  <c r="C284" i="1"/>
  <c r="E284" i="1" s="1"/>
  <c r="B284" i="1" s="1"/>
  <c r="R284" i="1" s="1"/>
  <c r="O202" i="1" l="1"/>
  <c r="L202" i="1" s="1"/>
  <c r="Q285" i="1"/>
  <c r="A286" i="1"/>
  <c r="S284" i="1"/>
  <c r="G285" i="1"/>
  <c r="C285" i="1"/>
  <c r="E285" i="1" s="1"/>
  <c r="B285" i="1" s="1"/>
  <c r="R285" i="1" s="1"/>
  <c r="T202" i="1" l="1"/>
  <c r="N203" i="1"/>
  <c r="M203" i="1"/>
  <c r="O203" i="1" s="1"/>
  <c r="L203" i="1" s="1"/>
  <c r="Q286" i="1"/>
  <c r="A287" i="1"/>
  <c r="S285" i="1"/>
  <c r="G286" i="1"/>
  <c r="C286" i="1"/>
  <c r="E286" i="1" s="1"/>
  <c r="B286" i="1"/>
  <c r="R286" i="1" s="1"/>
  <c r="T203" i="1" l="1"/>
  <c r="N204" i="1"/>
  <c r="M204" i="1"/>
  <c r="Q287" i="1"/>
  <c r="A288" i="1"/>
  <c r="S286" i="1"/>
  <c r="G287" i="1"/>
  <c r="C287" i="1"/>
  <c r="E287" i="1" s="1"/>
  <c r="B287" i="1" s="1"/>
  <c r="R287" i="1" s="1"/>
  <c r="O204" i="1" l="1"/>
  <c r="L204" i="1" s="1"/>
  <c r="Q288" i="1"/>
  <c r="A289" i="1"/>
  <c r="S287" i="1"/>
  <c r="G288" i="1"/>
  <c r="C288" i="1"/>
  <c r="E288" i="1" s="1"/>
  <c r="B288" i="1" s="1"/>
  <c r="R288" i="1" s="1"/>
  <c r="T204" i="1" l="1"/>
  <c r="M205" i="1"/>
  <c r="O205" i="1" s="1"/>
  <c r="L205" i="1" s="1"/>
  <c r="N205" i="1"/>
  <c r="Q289" i="1"/>
  <c r="A290" i="1"/>
  <c r="S288" i="1"/>
  <c r="G289" i="1"/>
  <c r="C289" i="1"/>
  <c r="E289" i="1" s="1"/>
  <c r="B289" i="1" s="1"/>
  <c r="R289" i="1" s="1"/>
  <c r="M206" i="1" l="1"/>
  <c r="N206" i="1"/>
  <c r="T205" i="1"/>
  <c r="Q290" i="1"/>
  <c r="A291" i="1"/>
  <c r="S289" i="1"/>
  <c r="G290" i="1"/>
  <c r="C290" i="1"/>
  <c r="E290" i="1" s="1"/>
  <c r="B290" i="1" s="1"/>
  <c r="R290" i="1" s="1"/>
  <c r="O206" i="1" l="1"/>
  <c r="L206" i="1" s="1"/>
  <c r="Q291" i="1"/>
  <c r="A292" i="1"/>
  <c r="S290" i="1"/>
  <c r="G291" i="1"/>
  <c r="C291" i="1"/>
  <c r="E291" i="1" s="1"/>
  <c r="B291" i="1" s="1"/>
  <c r="R291" i="1" s="1"/>
  <c r="N207" i="1" l="1"/>
  <c r="M207" i="1"/>
  <c r="O207" i="1" s="1"/>
  <c r="L207" i="1" s="1"/>
  <c r="T206" i="1"/>
  <c r="Q292" i="1"/>
  <c r="A293" i="1"/>
  <c r="S291" i="1"/>
  <c r="G292" i="1"/>
  <c r="C292" i="1"/>
  <c r="E292" i="1" s="1"/>
  <c r="B292" i="1" s="1"/>
  <c r="R292" i="1" s="1"/>
  <c r="T207" i="1" l="1"/>
  <c r="M208" i="1"/>
  <c r="O208" i="1" s="1"/>
  <c r="L208" i="1" s="1"/>
  <c r="N208" i="1"/>
  <c r="Q293" i="1"/>
  <c r="A294" i="1"/>
  <c r="S292" i="1"/>
  <c r="G293" i="1"/>
  <c r="C293" i="1"/>
  <c r="E293" i="1" s="1"/>
  <c r="B293" i="1" s="1"/>
  <c r="R293" i="1" s="1"/>
  <c r="N209" i="1" l="1"/>
  <c r="T208" i="1"/>
  <c r="M209" i="1"/>
  <c r="O209" i="1" s="1"/>
  <c r="L209" i="1" s="1"/>
  <c r="Q294" i="1"/>
  <c r="A295" i="1"/>
  <c r="S293" i="1"/>
  <c r="G294" i="1"/>
  <c r="C294" i="1"/>
  <c r="E294" i="1" s="1"/>
  <c r="B294" i="1" s="1"/>
  <c r="R294" i="1" s="1"/>
  <c r="T209" i="1" l="1"/>
  <c r="N210" i="1"/>
  <c r="M210" i="1"/>
  <c r="Q295" i="1"/>
  <c r="A296" i="1"/>
  <c r="S294" i="1"/>
  <c r="G295" i="1"/>
  <c r="C295" i="1"/>
  <c r="E295" i="1" s="1"/>
  <c r="B295" i="1" s="1"/>
  <c r="R295" i="1" s="1"/>
  <c r="O210" i="1" l="1"/>
  <c r="L210" i="1" s="1"/>
  <c r="Q296" i="1"/>
  <c r="A297" i="1"/>
  <c r="S295" i="1"/>
  <c r="G296" i="1"/>
  <c r="C296" i="1"/>
  <c r="E296" i="1" s="1"/>
  <c r="B296" i="1"/>
  <c r="R296" i="1" s="1"/>
  <c r="N211" i="1" l="1"/>
  <c r="M211" i="1"/>
  <c r="O211" i="1" s="1"/>
  <c r="L211" i="1" s="1"/>
  <c r="T210" i="1"/>
  <c r="Q297" i="1"/>
  <c r="A298" i="1"/>
  <c r="S296" i="1"/>
  <c r="G297" i="1"/>
  <c r="C297" i="1"/>
  <c r="E297" i="1" s="1"/>
  <c r="B297" i="1" s="1"/>
  <c r="R297" i="1" s="1"/>
  <c r="T211" i="1" l="1"/>
  <c r="M212" i="1"/>
  <c r="N212" i="1"/>
  <c r="Q298" i="1"/>
  <c r="A299" i="1"/>
  <c r="S297" i="1"/>
  <c r="G298" i="1"/>
  <c r="C298" i="1"/>
  <c r="E298" i="1" s="1"/>
  <c r="B298" i="1" s="1"/>
  <c r="R298" i="1" s="1"/>
  <c r="O212" i="1" l="1"/>
  <c r="L212" i="1" s="1"/>
  <c r="Q299" i="1"/>
  <c r="A300" i="1"/>
  <c r="S298" i="1"/>
  <c r="G299" i="1"/>
  <c r="C299" i="1"/>
  <c r="E299" i="1" s="1"/>
  <c r="B299" i="1" s="1"/>
  <c r="R299" i="1" s="1"/>
  <c r="T212" i="1" l="1"/>
  <c r="N213" i="1"/>
  <c r="M213" i="1"/>
  <c r="Q300" i="1"/>
  <c r="A301" i="1"/>
  <c r="S299" i="1"/>
  <c r="G300" i="1"/>
  <c r="C300" i="1"/>
  <c r="E300" i="1" s="1"/>
  <c r="B300" i="1" s="1"/>
  <c r="R300" i="1" s="1"/>
  <c r="O213" i="1" l="1"/>
  <c r="L213" i="1" s="1"/>
  <c r="Q301" i="1"/>
  <c r="A302" i="1"/>
  <c r="S300" i="1"/>
  <c r="G301" i="1"/>
  <c r="C301" i="1"/>
  <c r="E301" i="1" s="1"/>
  <c r="B301" i="1"/>
  <c r="R301" i="1" s="1"/>
  <c r="N214" i="1" l="1"/>
  <c r="M214" i="1"/>
  <c r="O214" i="1" s="1"/>
  <c r="L214" i="1" s="1"/>
  <c r="T213" i="1"/>
  <c r="Q302" i="1"/>
  <c r="A303" i="1"/>
  <c r="S301" i="1"/>
  <c r="G302" i="1"/>
  <c r="C302" i="1"/>
  <c r="E302" i="1" s="1"/>
  <c r="B302" i="1" s="1"/>
  <c r="R302" i="1" s="1"/>
  <c r="T214" i="1" l="1"/>
  <c r="N215" i="1"/>
  <c r="M215" i="1"/>
  <c r="O215" i="1" s="1"/>
  <c r="L215" i="1" s="1"/>
  <c r="Q303" i="1"/>
  <c r="A304" i="1"/>
  <c r="S302" i="1"/>
  <c r="G303" i="1"/>
  <c r="C303" i="1"/>
  <c r="E303" i="1" s="1"/>
  <c r="B303" i="1" s="1"/>
  <c r="R303" i="1" s="1"/>
  <c r="M216" i="1" l="1"/>
  <c r="O216" i="1" s="1"/>
  <c r="L216" i="1" s="1"/>
  <c r="T215" i="1"/>
  <c r="N216" i="1"/>
  <c r="Q304" i="1"/>
  <c r="A305" i="1"/>
  <c r="S303" i="1"/>
  <c r="G304" i="1"/>
  <c r="C304" i="1"/>
  <c r="E304" i="1" s="1"/>
  <c r="B304" i="1" s="1"/>
  <c r="R304" i="1" s="1"/>
  <c r="T216" i="1" l="1"/>
  <c r="N217" i="1"/>
  <c r="M217" i="1"/>
  <c r="O217" i="1" s="1"/>
  <c r="L217" i="1" s="1"/>
  <c r="Q305" i="1"/>
  <c r="A306" i="1"/>
  <c r="S304" i="1"/>
  <c r="G305" i="1"/>
  <c r="C305" i="1"/>
  <c r="E305" i="1" s="1"/>
  <c r="B305" i="1" s="1"/>
  <c r="R305" i="1" s="1"/>
  <c r="N218" i="1" l="1"/>
  <c r="M218" i="1"/>
  <c r="O218" i="1" s="1"/>
  <c r="L218" i="1" s="1"/>
  <c r="T217" i="1"/>
  <c r="Q306" i="1"/>
  <c r="A307" i="1"/>
  <c r="S305" i="1"/>
  <c r="G306" i="1"/>
  <c r="C306" i="1"/>
  <c r="E306" i="1" s="1"/>
  <c r="B306" i="1" s="1"/>
  <c r="R306" i="1" s="1"/>
  <c r="N219" i="1" l="1"/>
  <c r="M219" i="1"/>
  <c r="O219" i="1" s="1"/>
  <c r="L219" i="1" s="1"/>
  <c r="T218" i="1"/>
  <c r="Q307" i="1"/>
  <c r="A308" i="1"/>
  <c r="S306" i="1"/>
  <c r="G307" i="1"/>
  <c r="C307" i="1"/>
  <c r="E307" i="1" s="1"/>
  <c r="B307" i="1" s="1"/>
  <c r="R307" i="1" s="1"/>
  <c r="T219" i="1" l="1"/>
  <c r="M220" i="1"/>
  <c r="N220" i="1"/>
  <c r="Q308" i="1"/>
  <c r="A309" i="1"/>
  <c r="S307" i="1"/>
  <c r="G308" i="1"/>
  <c r="C308" i="1"/>
  <c r="E308" i="1" s="1"/>
  <c r="B308" i="1" s="1"/>
  <c r="R308" i="1" s="1"/>
  <c r="O220" i="1" l="1"/>
  <c r="L220" i="1" s="1"/>
  <c r="Q309" i="1"/>
  <c r="A310" i="1"/>
  <c r="S308" i="1"/>
  <c r="G309" i="1"/>
  <c r="C309" i="1"/>
  <c r="E309" i="1" s="1"/>
  <c r="B309" i="1" s="1"/>
  <c r="R309" i="1" s="1"/>
  <c r="N221" i="1" l="1"/>
  <c r="M221" i="1"/>
  <c r="O221" i="1" s="1"/>
  <c r="L221" i="1" s="1"/>
  <c r="T220" i="1"/>
  <c r="Q310" i="1"/>
  <c r="A311" i="1"/>
  <c r="S309" i="1"/>
  <c r="G310" i="1"/>
  <c r="C310" i="1"/>
  <c r="E310" i="1" s="1"/>
  <c r="B310" i="1" s="1"/>
  <c r="R310" i="1" s="1"/>
  <c r="T221" i="1" l="1"/>
  <c r="N222" i="1"/>
  <c r="M222" i="1"/>
  <c r="O222" i="1" s="1"/>
  <c r="L222" i="1" s="1"/>
  <c r="Q311" i="1"/>
  <c r="A312" i="1"/>
  <c r="S310" i="1"/>
  <c r="G311" i="1"/>
  <c r="C311" i="1"/>
  <c r="E311" i="1" s="1"/>
  <c r="B311" i="1" s="1"/>
  <c r="R311" i="1" s="1"/>
  <c r="M223" i="1" l="1"/>
  <c r="N223" i="1"/>
  <c r="T222" i="1"/>
  <c r="Q312" i="1"/>
  <c r="A313" i="1"/>
  <c r="S311" i="1"/>
  <c r="G312" i="1"/>
  <c r="C312" i="1"/>
  <c r="E312" i="1" s="1"/>
  <c r="B312" i="1" s="1"/>
  <c r="R312" i="1" s="1"/>
  <c r="O223" i="1" l="1"/>
  <c r="L223" i="1" s="1"/>
  <c r="Q313" i="1"/>
  <c r="A314" i="1"/>
  <c r="S312" i="1"/>
  <c r="G313" i="1"/>
  <c r="C313" i="1"/>
  <c r="E313" i="1" s="1"/>
  <c r="B313" i="1" s="1"/>
  <c r="R313" i="1" s="1"/>
  <c r="N224" i="1" l="1"/>
  <c r="T223" i="1"/>
  <c r="M224" i="1"/>
  <c r="O224" i="1" s="1"/>
  <c r="L224" i="1" s="1"/>
  <c r="Q314" i="1"/>
  <c r="A315" i="1"/>
  <c r="S313" i="1"/>
  <c r="G314" i="1"/>
  <c r="C314" i="1"/>
  <c r="E314" i="1" s="1"/>
  <c r="B314" i="1" s="1"/>
  <c r="R314" i="1" s="1"/>
  <c r="T224" i="1" l="1"/>
  <c r="N225" i="1"/>
  <c r="M225" i="1"/>
  <c r="O225" i="1" s="1"/>
  <c r="L225" i="1" s="1"/>
  <c r="Q315" i="1"/>
  <c r="A316" i="1"/>
  <c r="S314" i="1"/>
  <c r="G315" i="1"/>
  <c r="C315" i="1"/>
  <c r="E315" i="1" s="1"/>
  <c r="B315" i="1" s="1"/>
  <c r="R315" i="1" s="1"/>
  <c r="N226" i="1" l="1"/>
  <c r="M226" i="1"/>
  <c r="O226" i="1" s="1"/>
  <c r="L226" i="1" s="1"/>
  <c r="T225" i="1"/>
  <c r="Q316" i="1"/>
  <c r="A317" i="1"/>
  <c r="S315" i="1"/>
  <c r="G316" i="1"/>
  <c r="C316" i="1"/>
  <c r="E316" i="1" s="1"/>
  <c r="B316" i="1" s="1"/>
  <c r="R316" i="1" s="1"/>
  <c r="M227" i="1" l="1"/>
  <c r="T226" i="1"/>
  <c r="N227" i="1"/>
  <c r="Q317" i="1"/>
  <c r="A318" i="1"/>
  <c r="S316" i="1"/>
  <c r="G317" i="1"/>
  <c r="C317" i="1"/>
  <c r="E317" i="1" s="1"/>
  <c r="B317" i="1" s="1"/>
  <c r="R317" i="1" s="1"/>
  <c r="O227" i="1" l="1"/>
  <c r="L227" i="1" s="1"/>
  <c r="Q318" i="1"/>
  <c r="A319" i="1"/>
  <c r="S317" i="1"/>
  <c r="G318" i="1"/>
  <c r="C318" i="1"/>
  <c r="E318" i="1" s="1"/>
  <c r="B318" i="1" s="1"/>
  <c r="R318" i="1" s="1"/>
  <c r="N228" i="1" l="1"/>
  <c r="T227" i="1"/>
  <c r="M228" i="1"/>
  <c r="O228" i="1" s="1"/>
  <c r="L228" i="1" s="1"/>
  <c r="Q319" i="1"/>
  <c r="A320" i="1"/>
  <c r="S318" i="1"/>
  <c r="G319" i="1"/>
  <c r="C319" i="1"/>
  <c r="E319" i="1" s="1"/>
  <c r="B319" i="1" s="1"/>
  <c r="R319" i="1" s="1"/>
  <c r="T228" i="1" l="1"/>
  <c r="N229" i="1"/>
  <c r="M229" i="1"/>
  <c r="O229" i="1" s="1"/>
  <c r="L229" i="1" s="1"/>
  <c r="Q320" i="1"/>
  <c r="A321" i="1"/>
  <c r="S319" i="1"/>
  <c r="G320" i="1"/>
  <c r="C320" i="1"/>
  <c r="E320" i="1" s="1"/>
  <c r="B320" i="1" s="1"/>
  <c r="R320" i="1" s="1"/>
  <c r="M230" i="1" l="1"/>
  <c r="T229" i="1"/>
  <c r="N230" i="1"/>
  <c r="Q321" i="1"/>
  <c r="A322" i="1"/>
  <c r="S320" i="1"/>
  <c r="G321" i="1"/>
  <c r="C321" i="1"/>
  <c r="E321" i="1" s="1"/>
  <c r="B321" i="1" s="1"/>
  <c r="R321" i="1" s="1"/>
  <c r="O230" i="1" l="1"/>
  <c r="L230" i="1" s="1"/>
  <c r="Q322" i="1"/>
  <c r="A323" i="1"/>
  <c r="S321" i="1"/>
  <c r="G322" i="1"/>
  <c r="C322" i="1"/>
  <c r="E322" i="1" s="1"/>
  <c r="B322" i="1" s="1"/>
  <c r="R322" i="1" s="1"/>
  <c r="T230" i="1" l="1"/>
  <c r="N231" i="1"/>
  <c r="M231" i="1"/>
  <c r="O231" i="1" s="1"/>
  <c r="L231" i="1" s="1"/>
  <c r="Q323" i="1"/>
  <c r="A324" i="1"/>
  <c r="S322" i="1"/>
  <c r="G323" i="1"/>
  <c r="C323" i="1"/>
  <c r="E323" i="1" s="1"/>
  <c r="B323" i="1" s="1"/>
  <c r="R323" i="1" s="1"/>
  <c r="T231" i="1" l="1"/>
  <c r="N232" i="1"/>
  <c r="M232" i="1"/>
  <c r="O232" i="1" s="1"/>
  <c r="L232" i="1" s="1"/>
  <c r="Q324" i="1"/>
  <c r="A325" i="1"/>
  <c r="S323" i="1"/>
  <c r="G324" i="1"/>
  <c r="C324" i="1"/>
  <c r="E324" i="1" s="1"/>
  <c r="B324" i="1"/>
  <c r="R324" i="1" s="1"/>
  <c r="T232" i="1" l="1"/>
  <c r="M233" i="1"/>
  <c r="O233" i="1" s="1"/>
  <c r="L233" i="1" s="1"/>
  <c r="N233" i="1"/>
  <c r="Q325" i="1"/>
  <c r="A326" i="1"/>
  <c r="S324" i="1"/>
  <c r="G325" i="1"/>
  <c r="C325" i="1"/>
  <c r="E325" i="1" s="1"/>
  <c r="B325" i="1" s="1"/>
  <c r="R325" i="1" s="1"/>
  <c r="N234" i="1" l="1"/>
  <c r="M234" i="1"/>
  <c r="T233" i="1"/>
  <c r="Q326" i="1"/>
  <c r="A327" i="1"/>
  <c r="S325" i="1"/>
  <c r="G326" i="1"/>
  <c r="C326" i="1"/>
  <c r="E326" i="1" s="1"/>
  <c r="B326" i="1" s="1"/>
  <c r="R326" i="1" s="1"/>
  <c r="O234" i="1" l="1"/>
  <c r="L234" i="1" s="1"/>
  <c r="Q327" i="1"/>
  <c r="A328" i="1"/>
  <c r="S326" i="1"/>
  <c r="G327" i="1"/>
  <c r="C327" i="1"/>
  <c r="E327" i="1" s="1"/>
  <c r="B327" i="1" s="1"/>
  <c r="R327" i="1" s="1"/>
  <c r="M235" i="1" l="1"/>
  <c r="T234" i="1"/>
  <c r="N235" i="1"/>
  <c r="Q328" i="1"/>
  <c r="A329" i="1"/>
  <c r="S327" i="1"/>
  <c r="G328" i="1"/>
  <c r="C328" i="1"/>
  <c r="E328" i="1" s="1"/>
  <c r="B328" i="1" s="1"/>
  <c r="R328" i="1" s="1"/>
  <c r="O235" i="1" l="1"/>
  <c r="L235" i="1" s="1"/>
  <c r="Q329" i="1"/>
  <c r="A330" i="1"/>
  <c r="S328" i="1"/>
  <c r="G329" i="1"/>
  <c r="C329" i="1"/>
  <c r="E329" i="1" s="1"/>
  <c r="B329" i="1" s="1"/>
  <c r="R329" i="1" s="1"/>
  <c r="M236" i="1" l="1"/>
  <c r="N236" i="1"/>
  <c r="T235" i="1"/>
  <c r="Q330" i="1"/>
  <c r="A331" i="1"/>
  <c r="S329" i="1"/>
  <c r="G330" i="1"/>
  <c r="C330" i="1"/>
  <c r="E330" i="1" s="1"/>
  <c r="B330" i="1" s="1"/>
  <c r="R330" i="1" s="1"/>
  <c r="O236" i="1" l="1"/>
  <c r="L236" i="1" s="1"/>
  <c r="Q331" i="1"/>
  <c r="A332" i="1"/>
  <c r="S330" i="1"/>
  <c r="G331" i="1"/>
  <c r="C331" i="1"/>
  <c r="E331" i="1" s="1"/>
  <c r="B331" i="1" s="1"/>
  <c r="R331" i="1" s="1"/>
  <c r="T236" i="1" l="1"/>
  <c r="N237" i="1"/>
  <c r="M237" i="1"/>
  <c r="O237" i="1" s="1"/>
  <c r="L237" i="1" s="1"/>
  <c r="Q332" i="1"/>
  <c r="A333" i="1"/>
  <c r="S331" i="1"/>
  <c r="G332" i="1"/>
  <c r="C332" i="1"/>
  <c r="E332" i="1" s="1"/>
  <c r="B332" i="1" s="1"/>
  <c r="R332" i="1" s="1"/>
  <c r="T237" i="1" l="1"/>
  <c r="N238" i="1"/>
  <c r="M238" i="1"/>
  <c r="Q333" i="1"/>
  <c r="A334" i="1"/>
  <c r="S332" i="1"/>
  <c r="G333" i="1"/>
  <c r="C333" i="1"/>
  <c r="E333" i="1" s="1"/>
  <c r="B333" i="1"/>
  <c r="R333" i="1" s="1"/>
  <c r="O238" i="1" l="1"/>
  <c r="L238" i="1" s="1"/>
  <c r="Q334" i="1"/>
  <c r="A335" i="1"/>
  <c r="S333" i="1"/>
  <c r="G334" i="1"/>
  <c r="C334" i="1"/>
  <c r="E334" i="1" s="1"/>
  <c r="B334" i="1" s="1"/>
  <c r="R334" i="1" s="1"/>
  <c r="T238" i="1" l="1"/>
  <c r="M239" i="1"/>
  <c r="O239" i="1" s="1"/>
  <c r="L239" i="1" s="1"/>
  <c r="N239" i="1"/>
  <c r="Q335" i="1"/>
  <c r="A336" i="1"/>
  <c r="S334" i="1"/>
  <c r="G335" i="1"/>
  <c r="C335" i="1"/>
  <c r="E335" i="1" s="1"/>
  <c r="B335" i="1" s="1"/>
  <c r="R335" i="1" s="1"/>
  <c r="N240" i="1" l="1"/>
  <c r="T239" i="1"/>
  <c r="M240" i="1"/>
  <c r="O240" i="1" s="1"/>
  <c r="L240" i="1" s="1"/>
  <c r="Q336" i="1"/>
  <c r="A337" i="1"/>
  <c r="S335" i="1"/>
  <c r="G336" i="1"/>
  <c r="C336" i="1"/>
  <c r="E336" i="1" s="1"/>
  <c r="B336" i="1" s="1"/>
  <c r="R336" i="1" s="1"/>
  <c r="M241" i="1" l="1"/>
  <c r="N241" i="1"/>
  <c r="T240" i="1"/>
  <c r="Q337" i="1"/>
  <c r="A338" i="1"/>
  <c r="S336" i="1"/>
  <c r="G337" i="1"/>
  <c r="C337" i="1"/>
  <c r="E337" i="1" s="1"/>
  <c r="B337" i="1" s="1"/>
  <c r="R337" i="1" s="1"/>
  <c r="O241" i="1" l="1"/>
  <c r="L241" i="1" s="1"/>
  <c r="Q338" i="1"/>
  <c r="A339" i="1"/>
  <c r="S337" i="1"/>
  <c r="G338" i="1"/>
  <c r="C338" i="1"/>
  <c r="E338" i="1" s="1"/>
  <c r="B338" i="1" s="1"/>
  <c r="R338" i="1" s="1"/>
  <c r="N242" i="1" l="1"/>
  <c r="T241" i="1"/>
  <c r="M242" i="1"/>
  <c r="Q339" i="1"/>
  <c r="A340" i="1"/>
  <c r="S338" i="1"/>
  <c r="G339" i="1"/>
  <c r="C339" i="1"/>
  <c r="E339" i="1" s="1"/>
  <c r="B339" i="1" s="1"/>
  <c r="R339" i="1" s="1"/>
  <c r="O242" i="1" l="1"/>
  <c r="L242" i="1" s="1"/>
  <c r="Q340" i="1"/>
  <c r="A341" i="1"/>
  <c r="S339" i="1"/>
  <c r="G340" i="1"/>
  <c r="C340" i="1"/>
  <c r="E340" i="1" s="1"/>
  <c r="B340" i="1" s="1"/>
  <c r="R340" i="1" s="1"/>
  <c r="M243" i="1" l="1"/>
  <c r="N243" i="1"/>
  <c r="T242" i="1"/>
  <c r="Q341" i="1"/>
  <c r="A342" i="1"/>
  <c r="S340" i="1"/>
  <c r="G341" i="1"/>
  <c r="C341" i="1"/>
  <c r="E341" i="1" s="1"/>
  <c r="B341" i="1" s="1"/>
  <c r="R341" i="1" s="1"/>
  <c r="O243" i="1" l="1"/>
  <c r="L243" i="1" s="1"/>
  <c r="Q342" i="1"/>
  <c r="A343" i="1"/>
  <c r="S341" i="1"/>
  <c r="G342" i="1"/>
  <c r="C342" i="1"/>
  <c r="E342" i="1" s="1"/>
  <c r="B342" i="1" s="1"/>
  <c r="R342" i="1" s="1"/>
  <c r="T243" i="1" l="1"/>
  <c r="M244" i="1"/>
  <c r="N244" i="1"/>
  <c r="Q343" i="1"/>
  <c r="A344" i="1"/>
  <c r="S342" i="1"/>
  <c r="G343" i="1"/>
  <c r="C343" i="1"/>
  <c r="E343" i="1" s="1"/>
  <c r="B343" i="1" s="1"/>
  <c r="R343" i="1" s="1"/>
  <c r="O244" i="1" l="1"/>
  <c r="L244" i="1" s="1"/>
  <c r="Q344" i="1"/>
  <c r="A345" i="1"/>
  <c r="S343" i="1"/>
  <c r="G344" i="1"/>
  <c r="C344" i="1"/>
  <c r="E344" i="1" s="1"/>
  <c r="B344" i="1" s="1"/>
  <c r="R344" i="1" s="1"/>
  <c r="T244" i="1" l="1"/>
  <c r="N245" i="1"/>
  <c r="M245" i="1"/>
  <c r="O245" i="1" s="1"/>
  <c r="L245" i="1" s="1"/>
  <c r="Q345" i="1"/>
  <c r="A346" i="1"/>
  <c r="S344" i="1"/>
  <c r="G345" i="1"/>
  <c r="C345" i="1"/>
  <c r="E345" i="1" s="1"/>
  <c r="B345" i="1" s="1"/>
  <c r="R345" i="1" s="1"/>
  <c r="M246" i="1" l="1"/>
  <c r="T245" i="1"/>
  <c r="N246" i="1"/>
  <c r="Q346" i="1"/>
  <c r="A347" i="1"/>
  <c r="S345" i="1"/>
  <c r="G346" i="1"/>
  <c r="C346" i="1"/>
  <c r="E346" i="1" s="1"/>
  <c r="B346" i="1" s="1"/>
  <c r="R346" i="1" s="1"/>
  <c r="O246" i="1" l="1"/>
  <c r="L246" i="1" s="1"/>
  <c r="Q347" i="1"/>
  <c r="A348" i="1"/>
  <c r="S346" i="1"/>
  <c r="G347" i="1"/>
  <c r="C347" i="1"/>
  <c r="E347" i="1" s="1"/>
  <c r="B347" i="1" s="1"/>
  <c r="R347" i="1" s="1"/>
  <c r="M247" i="1" l="1"/>
  <c r="T246" i="1"/>
  <c r="N247" i="1"/>
  <c r="Q348" i="1"/>
  <c r="A349" i="1"/>
  <c r="S347" i="1"/>
  <c r="G348" i="1"/>
  <c r="C348" i="1"/>
  <c r="E348" i="1" s="1"/>
  <c r="B348" i="1" s="1"/>
  <c r="R348" i="1" s="1"/>
  <c r="O247" i="1" l="1"/>
  <c r="L247" i="1" s="1"/>
  <c r="Q349" i="1"/>
  <c r="A350" i="1"/>
  <c r="S348" i="1"/>
  <c r="G349" i="1"/>
  <c r="C349" i="1"/>
  <c r="E349" i="1" s="1"/>
  <c r="B349" i="1" s="1"/>
  <c r="R349" i="1" s="1"/>
  <c r="N248" i="1" l="1"/>
  <c r="T247" i="1"/>
  <c r="M248" i="1"/>
  <c r="O248" i="1" s="1"/>
  <c r="L248" i="1" s="1"/>
  <c r="Q350" i="1"/>
  <c r="A351" i="1"/>
  <c r="S349" i="1"/>
  <c r="G350" i="1"/>
  <c r="C350" i="1"/>
  <c r="E350" i="1" s="1"/>
  <c r="B350" i="1" s="1"/>
  <c r="R350" i="1" s="1"/>
  <c r="T248" i="1" l="1"/>
  <c r="M249" i="1"/>
  <c r="N249" i="1"/>
  <c r="Q351" i="1"/>
  <c r="A352" i="1"/>
  <c r="S350" i="1"/>
  <c r="G351" i="1"/>
  <c r="C351" i="1"/>
  <c r="E351" i="1" s="1"/>
  <c r="B351" i="1" s="1"/>
  <c r="R351" i="1" s="1"/>
  <c r="O249" i="1" l="1"/>
  <c r="L249" i="1" s="1"/>
  <c r="Q352" i="1"/>
  <c r="A353" i="1"/>
  <c r="S351" i="1"/>
  <c r="G352" i="1"/>
  <c r="C352" i="1"/>
  <c r="E352" i="1" s="1"/>
  <c r="B352" i="1" s="1"/>
  <c r="R352" i="1" s="1"/>
  <c r="M250" i="1" l="1"/>
  <c r="N250" i="1"/>
  <c r="T249" i="1"/>
  <c r="Q353" i="1"/>
  <c r="A354" i="1"/>
  <c r="S352" i="1"/>
  <c r="G353" i="1"/>
  <c r="C353" i="1"/>
  <c r="E353" i="1" s="1"/>
  <c r="B353" i="1" s="1"/>
  <c r="R353" i="1" s="1"/>
  <c r="O250" i="1" l="1"/>
  <c r="L250" i="1" s="1"/>
  <c r="Q354" i="1"/>
  <c r="A355" i="1"/>
  <c r="S353" i="1"/>
  <c r="G354" i="1"/>
  <c r="C354" i="1"/>
  <c r="E354" i="1" s="1"/>
  <c r="B354" i="1"/>
  <c r="R354" i="1" s="1"/>
  <c r="T250" i="1" l="1"/>
  <c r="N251" i="1"/>
  <c r="M251" i="1"/>
  <c r="O251" i="1" s="1"/>
  <c r="L251" i="1" s="1"/>
  <c r="Q355" i="1"/>
  <c r="A356" i="1"/>
  <c r="S354" i="1"/>
  <c r="G355" i="1"/>
  <c r="C355" i="1"/>
  <c r="E355" i="1" s="1"/>
  <c r="B355" i="1" s="1"/>
  <c r="R355" i="1" s="1"/>
  <c r="T251" i="1" l="1"/>
  <c r="M252" i="1"/>
  <c r="N252" i="1"/>
  <c r="Q356" i="1"/>
  <c r="A357" i="1"/>
  <c r="S355" i="1"/>
  <c r="G356" i="1"/>
  <c r="C356" i="1"/>
  <c r="E356" i="1" s="1"/>
  <c r="B356" i="1" s="1"/>
  <c r="R356" i="1" s="1"/>
  <c r="O252" i="1" l="1"/>
  <c r="L252" i="1" s="1"/>
  <c r="Q357" i="1"/>
  <c r="A358" i="1"/>
  <c r="S356" i="1"/>
  <c r="G357" i="1"/>
  <c r="C357" i="1"/>
  <c r="E357" i="1" s="1"/>
  <c r="B357" i="1" s="1"/>
  <c r="R357" i="1" s="1"/>
  <c r="M253" i="1" l="1"/>
  <c r="O253" i="1" s="1"/>
  <c r="L253" i="1" s="1"/>
  <c r="N253" i="1"/>
  <c r="T252" i="1"/>
  <c r="Q358" i="1"/>
  <c r="A359" i="1"/>
  <c r="S357" i="1"/>
  <c r="G358" i="1"/>
  <c r="C358" i="1"/>
  <c r="E358" i="1" s="1"/>
  <c r="B358" i="1" s="1"/>
  <c r="R358" i="1" s="1"/>
  <c r="N254" i="1" l="1"/>
  <c r="M254" i="1"/>
  <c r="O254" i="1" s="1"/>
  <c r="L254" i="1" s="1"/>
  <c r="T253" i="1"/>
  <c r="Q359" i="1"/>
  <c r="A360" i="1"/>
  <c r="S358" i="1"/>
  <c r="G359" i="1"/>
  <c r="C359" i="1"/>
  <c r="E359" i="1" s="1"/>
  <c r="B359" i="1" s="1"/>
  <c r="R359" i="1" s="1"/>
  <c r="T254" i="1" l="1"/>
  <c r="N255" i="1"/>
  <c r="M255" i="1"/>
  <c r="O255" i="1" s="1"/>
  <c r="L255" i="1" s="1"/>
  <c r="Q360" i="1"/>
  <c r="A361" i="1"/>
  <c r="S359" i="1"/>
  <c r="G360" i="1"/>
  <c r="C360" i="1"/>
  <c r="E360" i="1" s="1"/>
  <c r="B360" i="1" s="1"/>
  <c r="R360" i="1" s="1"/>
  <c r="M256" i="1" l="1"/>
  <c r="T255" i="1"/>
  <c r="N256" i="1"/>
  <c r="Q361" i="1"/>
  <c r="A362" i="1"/>
  <c r="S360" i="1"/>
  <c r="G361" i="1"/>
  <c r="C361" i="1"/>
  <c r="E361" i="1" s="1"/>
  <c r="B361" i="1" s="1"/>
  <c r="R361" i="1" s="1"/>
  <c r="O256" i="1" l="1"/>
  <c r="L256" i="1" s="1"/>
  <c r="Q362" i="1"/>
  <c r="A363" i="1"/>
  <c r="S361" i="1"/>
  <c r="G362" i="1"/>
  <c r="C362" i="1"/>
  <c r="E362" i="1" s="1"/>
  <c r="B362" i="1" s="1"/>
  <c r="R362" i="1" s="1"/>
  <c r="M257" i="1" l="1"/>
  <c r="N257" i="1"/>
  <c r="T256" i="1"/>
  <c r="Q363" i="1"/>
  <c r="A364" i="1"/>
  <c r="S362" i="1"/>
  <c r="G363" i="1"/>
  <c r="C363" i="1"/>
  <c r="E363" i="1" s="1"/>
  <c r="B363" i="1" s="1"/>
  <c r="R363" i="1" s="1"/>
  <c r="O257" i="1" l="1"/>
  <c r="L257" i="1" s="1"/>
  <c r="Q364" i="1"/>
  <c r="A365" i="1"/>
  <c r="S363" i="1"/>
  <c r="G364" i="1"/>
  <c r="C364" i="1"/>
  <c r="E364" i="1" s="1"/>
  <c r="B364" i="1" s="1"/>
  <c r="R364" i="1" s="1"/>
  <c r="N258" i="1" l="1"/>
  <c r="M258" i="1"/>
  <c r="O258" i="1" s="1"/>
  <c r="L258" i="1" s="1"/>
  <c r="T257" i="1"/>
  <c r="Q365" i="1"/>
  <c r="A366" i="1"/>
  <c r="S364" i="1"/>
  <c r="G365" i="1"/>
  <c r="C365" i="1"/>
  <c r="E365" i="1" s="1"/>
  <c r="B365" i="1" s="1"/>
  <c r="R365" i="1" s="1"/>
  <c r="M259" i="1" l="1"/>
  <c r="N259" i="1"/>
  <c r="T258" i="1"/>
  <c r="Q366" i="1"/>
  <c r="A367" i="1"/>
  <c r="S365" i="1"/>
  <c r="G366" i="1"/>
  <c r="C366" i="1"/>
  <c r="E366" i="1" s="1"/>
  <c r="B366" i="1" s="1"/>
  <c r="R366" i="1" s="1"/>
  <c r="O259" i="1" l="1"/>
  <c r="L259" i="1" s="1"/>
  <c r="Q367" i="1"/>
  <c r="A368" i="1"/>
  <c r="S366" i="1"/>
  <c r="G367" i="1"/>
  <c r="C367" i="1"/>
  <c r="E367" i="1" s="1"/>
  <c r="B367" i="1" s="1"/>
  <c r="R367" i="1" s="1"/>
  <c r="N260" i="1" l="1"/>
  <c r="T259" i="1"/>
  <c r="M260" i="1"/>
  <c r="O260" i="1" s="1"/>
  <c r="L260" i="1" s="1"/>
  <c r="Q368" i="1"/>
  <c r="A369" i="1"/>
  <c r="S367" i="1"/>
  <c r="G368" i="1"/>
  <c r="C368" i="1"/>
  <c r="E368" i="1" s="1"/>
  <c r="B368" i="1" s="1"/>
  <c r="R368" i="1" s="1"/>
  <c r="N261" i="1" l="1"/>
  <c r="T260" i="1"/>
  <c r="M261" i="1"/>
  <c r="Q369" i="1"/>
  <c r="A370" i="1"/>
  <c r="S368" i="1"/>
  <c r="G369" i="1"/>
  <c r="C369" i="1"/>
  <c r="E369" i="1" s="1"/>
  <c r="B369" i="1" s="1"/>
  <c r="R369" i="1" s="1"/>
  <c r="O261" i="1" l="1"/>
  <c r="L261" i="1" s="1"/>
  <c r="Q370" i="1"/>
  <c r="A371" i="1"/>
  <c r="S369" i="1"/>
  <c r="G370" i="1"/>
  <c r="C370" i="1"/>
  <c r="E370" i="1" s="1"/>
  <c r="B370" i="1" s="1"/>
  <c r="R370" i="1" s="1"/>
  <c r="M262" i="1" l="1"/>
  <c r="N262" i="1"/>
  <c r="T261" i="1"/>
  <c r="Q371" i="1"/>
  <c r="A372" i="1"/>
  <c r="S370" i="1"/>
  <c r="G371" i="1"/>
  <c r="C371" i="1"/>
  <c r="E371" i="1" s="1"/>
  <c r="B371" i="1" s="1"/>
  <c r="R371" i="1" s="1"/>
  <c r="O262" i="1" l="1"/>
  <c r="L262" i="1" s="1"/>
  <c r="Q372" i="1"/>
  <c r="A373" i="1"/>
  <c r="S371" i="1"/>
  <c r="G372" i="1"/>
  <c r="C372" i="1"/>
  <c r="E372" i="1" s="1"/>
  <c r="B372" i="1" s="1"/>
  <c r="R372" i="1" s="1"/>
  <c r="M263" i="1" l="1"/>
  <c r="O263" i="1" s="1"/>
  <c r="L263" i="1" s="1"/>
  <c r="N263" i="1"/>
  <c r="T262" i="1"/>
  <c r="Q373" i="1"/>
  <c r="A374" i="1"/>
  <c r="S372" i="1"/>
  <c r="G373" i="1"/>
  <c r="C373" i="1"/>
  <c r="E373" i="1" s="1"/>
  <c r="B373" i="1" s="1"/>
  <c r="R373" i="1" s="1"/>
  <c r="T263" i="1" l="1"/>
  <c r="N264" i="1"/>
  <c r="M264" i="1"/>
  <c r="O264" i="1" s="1"/>
  <c r="L264" i="1" s="1"/>
  <c r="Q374" i="1"/>
  <c r="A375" i="1"/>
  <c r="S373" i="1"/>
  <c r="G374" i="1"/>
  <c r="C374" i="1"/>
  <c r="E374" i="1" s="1"/>
  <c r="B374" i="1" s="1"/>
  <c r="R374" i="1" s="1"/>
  <c r="M265" i="1" l="1"/>
  <c r="T264" i="1"/>
  <c r="N265" i="1"/>
  <c r="Q375" i="1"/>
  <c r="A376" i="1"/>
  <c r="S374" i="1"/>
  <c r="G375" i="1"/>
  <c r="C375" i="1"/>
  <c r="E375" i="1" s="1"/>
  <c r="B375" i="1" s="1"/>
  <c r="R375" i="1" s="1"/>
  <c r="O265" i="1" l="1"/>
  <c r="L265" i="1" s="1"/>
  <c r="Q376" i="1"/>
  <c r="A377" i="1"/>
  <c r="S375" i="1"/>
  <c r="G376" i="1"/>
  <c r="C376" i="1"/>
  <c r="E376" i="1" s="1"/>
  <c r="B376" i="1" s="1"/>
  <c r="R376" i="1" s="1"/>
  <c r="T265" i="1" l="1"/>
  <c r="M266" i="1"/>
  <c r="N266" i="1"/>
  <c r="Q377" i="1"/>
  <c r="A378" i="1"/>
  <c r="S376" i="1"/>
  <c r="G377" i="1"/>
  <c r="C377" i="1"/>
  <c r="E377" i="1" s="1"/>
  <c r="B377" i="1" s="1"/>
  <c r="R377" i="1" s="1"/>
  <c r="O266" i="1" l="1"/>
  <c r="L266" i="1" s="1"/>
  <c r="Q378" i="1"/>
  <c r="A379" i="1"/>
  <c r="S377" i="1"/>
  <c r="G378" i="1"/>
  <c r="C378" i="1"/>
  <c r="E378" i="1" s="1"/>
  <c r="B378" i="1" s="1"/>
  <c r="R378" i="1" s="1"/>
  <c r="M267" i="1" l="1"/>
  <c r="O267" i="1" s="1"/>
  <c r="L267" i="1" s="1"/>
  <c r="N267" i="1"/>
  <c r="T266" i="1"/>
  <c r="Q379" i="1"/>
  <c r="A380" i="1"/>
  <c r="S378" i="1"/>
  <c r="G379" i="1"/>
  <c r="C379" i="1"/>
  <c r="E379" i="1" s="1"/>
  <c r="B379" i="1" s="1"/>
  <c r="R379" i="1" s="1"/>
  <c r="N268" i="1" l="1"/>
  <c r="T267" i="1"/>
  <c r="M268" i="1"/>
  <c r="O268" i="1" s="1"/>
  <c r="L268" i="1" s="1"/>
  <c r="Q380" i="1"/>
  <c r="A381" i="1"/>
  <c r="S379" i="1"/>
  <c r="G380" i="1"/>
  <c r="C380" i="1"/>
  <c r="E380" i="1" s="1"/>
  <c r="B380" i="1" s="1"/>
  <c r="R380" i="1" s="1"/>
  <c r="M269" i="1" l="1"/>
  <c r="T268" i="1"/>
  <c r="N269" i="1"/>
  <c r="Q381" i="1"/>
  <c r="A382" i="1"/>
  <c r="S380" i="1"/>
  <c r="G381" i="1"/>
  <c r="C381" i="1"/>
  <c r="E381" i="1" s="1"/>
  <c r="B381" i="1" s="1"/>
  <c r="R381" i="1" s="1"/>
  <c r="O269" i="1" l="1"/>
  <c r="L269" i="1" s="1"/>
  <c r="Q382" i="1"/>
  <c r="A383" i="1"/>
  <c r="S381" i="1"/>
  <c r="G382" i="1"/>
  <c r="C382" i="1"/>
  <c r="E382" i="1" s="1"/>
  <c r="B382" i="1" s="1"/>
  <c r="R382" i="1" s="1"/>
  <c r="N270" i="1" l="1"/>
  <c r="T269" i="1"/>
  <c r="M270" i="1"/>
  <c r="O270" i="1" s="1"/>
  <c r="L270" i="1" s="1"/>
  <c r="Q383" i="1"/>
  <c r="A384" i="1"/>
  <c r="S382" i="1"/>
  <c r="G383" i="1"/>
  <c r="C383" i="1"/>
  <c r="E383" i="1" s="1"/>
  <c r="B383" i="1" s="1"/>
  <c r="R383" i="1" s="1"/>
  <c r="T270" i="1" l="1"/>
  <c r="N271" i="1"/>
  <c r="M271" i="1"/>
  <c r="O271" i="1" s="1"/>
  <c r="L271" i="1" s="1"/>
  <c r="Q384" i="1"/>
  <c r="A385" i="1"/>
  <c r="S383" i="1"/>
  <c r="G384" i="1"/>
  <c r="C384" i="1"/>
  <c r="E384" i="1" s="1"/>
  <c r="B384" i="1" s="1"/>
  <c r="R384" i="1" s="1"/>
  <c r="N272" i="1" l="1"/>
  <c r="T271" i="1"/>
  <c r="M272" i="1"/>
  <c r="O272" i="1" s="1"/>
  <c r="L272" i="1" s="1"/>
  <c r="Q385" i="1"/>
  <c r="A386" i="1"/>
  <c r="S384" i="1"/>
  <c r="G385" i="1"/>
  <c r="C385" i="1"/>
  <c r="E385" i="1" s="1"/>
  <c r="B385" i="1" s="1"/>
  <c r="R385" i="1" s="1"/>
  <c r="M273" i="1" l="1"/>
  <c r="N273" i="1"/>
  <c r="T272" i="1"/>
  <c r="Q386" i="1"/>
  <c r="A387" i="1"/>
  <c r="S385" i="1"/>
  <c r="G386" i="1"/>
  <c r="C386" i="1"/>
  <c r="E386" i="1" s="1"/>
  <c r="B386" i="1" s="1"/>
  <c r="R386" i="1" s="1"/>
  <c r="O273" i="1" l="1"/>
  <c r="L273" i="1" s="1"/>
  <c r="Q387" i="1"/>
  <c r="A388" i="1"/>
  <c r="S386" i="1"/>
  <c r="G387" i="1"/>
  <c r="C387" i="1"/>
  <c r="E387" i="1" s="1"/>
  <c r="B387" i="1" s="1"/>
  <c r="R387" i="1" s="1"/>
  <c r="N274" i="1" l="1"/>
  <c r="T273" i="1"/>
  <c r="M274" i="1"/>
  <c r="O274" i="1" s="1"/>
  <c r="L274" i="1" s="1"/>
  <c r="Q388" i="1"/>
  <c r="A389" i="1"/>
  <c r="S387" i="1"/>
  <c r="G388" i="1"/>
  <c r="C388" i="1"/>
  <c r="E388" i="1" s="1"/>
  <c r="B388" i="1" s="1"/>
  <c r="R388" i="1" s="1"/>
  <c r="M275" i="1" l="1"/>
  <c r="N275" i="1"/>
  <c r="T274" i="1"/>
  <c r="Q389" i="1"/>
  <c r="A390" i="1"/>
  <c r="S388" i="1"/>
  <c r="G389" i="1"/>
  <c r="C389" i="1"/>
  <c r="E389" i="1" s="1"/>
  <c r="B389" i="1" s="1"/>
  <c r="R389" i="1" s="1"/>
  <c r="O275" i="1" l="1"/>
  <c r="L275" i="1" s="1"/>
  <c r="Q390" i="1"/>
  <c r="A391" i="1"/>
  <c r="S389" i="1"/>
  <c r="G390" i="1"/>
  <c r="C390" i="1"/>
  <c r="E390" i="1" s="1"/>
  <c r="B390" i="1" s="1"/>
  <c r="R390" i="1" s="1"/>
  <c r="N276" i="1" l="1"/>
  <c r="T275" i="1"/>
  <c r="M276" i="1"/>
  <c r="O276" i="1" s="1"/>
  <c r="L276" i="1" s="1"/>
  <c r="Q391" i="1"/>
  <c r="A392" i="1"/>
  <c r="S390" i="1"/>
  <c r="G391" i="1"/>
  <c r="C391" i="1"/>
  <c r="E391" i="1" s="1"/>
  <c r="B391" i="1" s="1"/>
  <c r="R391" i="1" s="1"/>
  <c r="T276" i="1" l="1"/>
  <c r="M277" i="1"/>
  <c r="N277" i="1"/>
  <c r="Q392" i="1"/>
  <c r="A393" i="1"/>
  <c r="S391" i="1"/>
  <c r="G392" i="1"/>
  <c r="C392" i="1"/>
  <c r="E392" i="1" s="1"/>
  <c r="B392" i="1" s="1"/>
  <c r="R392" i="1" s="1"/>
  <c r="O277" i="1" l="1"/>
  <c r="L277" i="1" s="1"/>
  <c r="Q393" i="1"/>
  <c r="A394" i="1"/>
  <c r="S392" i="1"/>
  <c r="G393" i="1"/>
  <c r="C393" i="1"/>
  <c r="E393" i="1" s="1"/>
  <c r="B393" i="1" s="1"/>
  <c r="R393" i="1" s="1"/>
  <c r="N278" i="1" l="1"/>
  <c r="T277" i="1"/>
  <c r="M278" i="1"/>
  <c r="O278" i="1" s="1"/>
  <c r="L278" i="1" s="1"/>
  <c r="Q394" i="1"/>
  <c r="A395" i="1"/>
  <c r="S393" i="1"/>
  <c r="G394" i="1"/>
  <c r="C394" i="1"/>
  <c r="E394" i="1" s="1"/>
  <c r="B394" i="1" s="1"/>
  <c r="R394" i="1" s="1"/>
  <c r="M279" i="1" l="1"/>
  <c r="N279" i="1"/>
  <c r="T278" i="1"/>
  <c r="Q395" i="1"/>
  <c r="A396" i="1"/>
  <c r="S394" i="1"/>
  <c r="G395" i="1"/>
  <c r="C395" i="1"/>
  <c r="E395" i="1" s="1"/>
  <c r="B395" i="1" s="1"/>
  <c r="R395" i="1" s="1"/>
  <c r="O279" i="1" l="1"/>
  <c r="L279" i="1" s="1"/>
  <c r="Q396" i="1"/>
  <c r="A397" i="1"/>
  <c r="S395" i="1"/>
  <c r="G396" i="1"/>
  <c r="C396" i="1"/>
  <c r="E396" i="1" s="1"/>
  <c r="B396" i="1" s="1"/>
  <c r="R396" i="1" s="1"/>
  <c r="N280" i="1" l="1"/>
  <c r="M280" i="1"/>
  <c r="O280" i="1" s="1"/>
  <c r="L280" i="1" s="1"/>
  <c r="T279" i="1"/>
  <c r="Q397" i="1"/>
  <c r="A398" i="1"/>
  <c r="S396" i="1"/>
  <c r="G397" i="1"/>
  <c r="C397" i="1"/>
  <c r="E397" i="1" s="1"/>
  <c r="B397" i="1" s="1"/>
  <c r="R397" i="1" s="1"/>
  <c r="N281" i="1" l="1"/>
  <c r="T280" i="1"/>
  <c r="M281" i="1"/>
  <c r="O281" i="1" s="1"/>
  <c r="L281" i="1" s="1"/>
  <c r="Q398" i="1"/>
  <c r="A399" i="1"/>
  <c r="S397" i="1"/>
  <c r="G398" i="1"/>
  <c r="C398" i="1"/>
  <c r="E398" i="1" s="1"/>
  <c r="B398" i="1" s="1"/>
  <c r="R398" i="1" s="1"/>
  <c r="M282" i="1" l="1"/>
  <c r="T281" i="1"/>
  <c r="N282" i="1"/>
  <c r="Q399" i="1"/>
  <c r="A400" i="1"/>
  <c r="S398" i="1"/>
  <c r="G399" i="1"/>
  <c r="C399" i="1"/>
  <c r="E399" i="1" s="1"/>
  <c r="B399" i="1" s="1"/>
  <c r="R399" i="1" s="1"/>
  <c r="O282" i="1" l="1"/>
  <c r="L282" i="1" s="1"/>
  <c r="Q400" i="1"/>
  <c r="A401" i="1"/>
  <c r="S399" i="1"/>
  <c r="G400" i="1"/>
  <c r="C400" i="1"/>
  <c r="E400" i="1" s="1"/>
  <c r="B400" i="1" s="1"/>
  <c r="R400" i="1" s="1"/>
  <c r="N283" i="1" l="1"/>
  <c r="T282" i="1"/>
  <c r="M283" i="1"/>
  <c r="Q401" i="1"/>
  <c r="A402" i="1"/>
  <c r="S400" i="1"/>
  <c r="G401" i="1"/>
  <c r="C401" i="1"/>
  <c r="E401" i="1" s="1"/>
  <c r="B401" i="1" s="1"/>
  <c r="R401" i="1" s="1"/>
  <c r="O283" i="1" l="1"/>
  <c r="L283" i="1" s="1"/>
  <c r="Q402" i="1"/>
  <c r="A403" i="1"/>
  <c r="S401" i="1"/>
  <c r="G402" i="1"/>
  <c r="C402" i="1"/>
  <c r="E402" i="1" s="1"/>
  <c r="B402" i="1" s="1"/>
  <c r="R402" i="1" s="1"/>
  <c r="M284" i="1" l="1"/>
  <c r="O284" i="1" s="1"/>
  <c r="L284" i="1" s="1"/>
  <c r="N284" i="1"/>
  <c r="T283" i="1"/>
  <c r="Q403" i="1"/>
  <c r="A404" i="1"/>
  <c r="S402" i="1"/>
  <c r="G403" i="1"/>
  <c r="C403" i="1"/>
  <c r="E403" i="1" s="1"/>
  <c r="B403" i="1" s="1"/>
  <c r="R403" i="1" s="1"/>
  <c r="T284" i="1" l="1"/>
  <c r="N285" i="1"/>
  <c r="M285" i="1"/>
  <c r="O285" i="1" s="1"/>
  <c r="L285" i="1" s="1"/>
  <c r="Q404" i="1"/>
  <c r="A405" i="1"/>
  <c r="S403" i="1"/>
  <c r="G404" i="1"/>
  <c r="C404" i="1"/>
  <c r="E404" i="1" s="1"/>
  <c r="B404" i="1" s="1"/>
  <c r="R404" i="1" s="1"/>
  <c r="N286" i="1" l="1"/>
  <c r="T285" i="1"/>
  <c r="M286" i="1"/>
  <c r="O286" i="1" s="1"/>
  <c r="L286" i="1" s="1"/>
  <c r="Q405" i="1"/>
  <c r="A406" i="1"/>
  <c r="S404" i="1"/>
  <c r="G405" i="1"/>
  <c r="C405" i="1"/>
  <c r="E405" i="1" s="1"/>
  <c r="B405" i="1" s="1"/>
  <c r="R405" i="1" s="1"/>
  <c r="M287" i="1" l="1"/>
  <c r="O287" i="1" s="1"/>
  <c r="L287" i="1" s="1"/>
  <c r="T286" i="1"/>
  <c r="N287" i="1"/>
  <c r="Q406" i="1"/>
  <c r="A407" i="1"/>
  <c r="S405" i="1"/>
  <c r="G406" i="1"/>
  <c r="C406" i="1"/>
  <c r="E406" i="1" s="1"/>
  <c r="B406" i="1" s="1"/>
  <c r="R406" i="1" s="1"/>
  <c r="T287" i="1" l="1"/>
  <c r="M288" i="1"/>
  <c r="N288" i="1"/>
  <c r="Q407" i="1"/>
  <c r="A408" i="1"/>
  <c r="S406" i="1"/>
  <c r="G407" i="1"/>
  <c r="C407" i="1"/>
  <c r="E407" i="1" s="1"/>
  <c r="B407" i="1" s="1"/>
  <c r="R407" i="1" s="1"/>
  <c r="O288" i="1" l="1"/>
  <c r="L288" i="1" s="1"/>
  <c r="Q408" i="1"/>
  <c r="A409" i="1"/>
  <c r="S407" i="1"/>
  <c r="G408" i="1"/>
  <c r="C408" i="1"/>
  <c r="E408" i="1" s="1"/>
  <c r="B408" i="1" s="1"/>
  <c r="R408" i="1" s="1"/>
  <c r="N289" i="1" l="1"/>
  <c r="T288" i="1"/>
  <c r="M289" i="1"/>
  <c r="O289" i="1" s="1"/>
  <c r="L289" i="1" s="1"/>
  <c r="Q409" i="1"/>
  <c r="A410" i="1"/>
  <c r="S408" i="1"/>
  <c r="G409" i="1"/>
  <c r="C409" i="1"/>
  <c r="E409" i="1" s="1"/>
  <c r="B409" i="1" s="1"/>
  <c r="R409" i="1" s="1"/>
  <c r="M290" i="1" l="1"/>
  <c r="N290" i="1"/>
  <c r="T289" i="1"/>
  <c r="Q410" i="1"/>
  <c r="A411" i="1"/>
  <c r="S409" i="1"/>
  <c r="G410" i="1"/>
  <c r="C410" i="1"/>
  <c r="E410" i="1" s="1"/>
  <c r="B410" i="1" s="1"/>
  <c r="R410" i="1" s="1"/>
  <c r="O290" i="1" l="1"/>
  <c r="L290" i="1" s="1"/>
  <c r="Q411" i="1"/>
  <c r="A412" i="1"/>
  <c r="S410" i="1"/>
  <c r="G411" i="1"/>
  <c r="C411" i="1"/>
  <c r="E411" i="1" s="1"/>
  <c r="B411" i="1" s="1"/>
  <c r="R411" i="1" s="1"/>
  <c r="T290" i="1" l="1"/>
  <c r="N291" i="1"/>
  <c r="M291" i="1"/>
  <c r="O291" i="1" s="1"/>
  <c r="L291" i="1" s="1"/>
  <c r="Q412" i="1"/>
  <c r="A413" i="1"/>
  <c r="S411" i="1"/>
  <c r="G412" i="1"/>
  <c r="C412" i="1"/>
  <c r="E412" i="1" s="1"/>
  <c r="B412" i="1" s="1"/>
  <c r="R412" i="1" s="1"/>
  <c r="N292" i="1" l="1"/>
  <c r="M292" i="1"/>
  <c r="O292" i="1" s="1"/>
  <c r="L292" i="1" s="1"/>
  <c r="T291" i="1"/>
  <c r="Q413" i="1"/>
  <c r="A414" i="1"/>
  <c r="S412" i="1"/>
  <c r="G413" i="1"/>
  <c r="C413" i="1"/>
  <c r="E413" i="1" s="1"/>
  <c r="B413" i="1" s="1"/>
  <c r="R413" i="1" s="1"/>
  <c r="M293" i="1" l="1"/>
  <c r="O293" i="1" s="1"/>
  <c r="L293" i="1" s="1"/>
  <c r="T292" i="1"/>
  <c r="N293" i="1"/>
  <c r="Q414" i="1"/>
  <c r="A415" i="1"/>
  <c r="S413" i="1"/>
  <c r="G414" i="1"/>
  <c r="C414" i="1"/>
  <c r="E414" i="1" s="1"/>
  <c r="B414" i="1" s="1"/>
  <c r="R414" i="1" s="1"/>
  <c r="M294" i="1" l="1"/>
  <c r="N294" i="1"/>
  <c r="T293" i="1"/>
  <c r="Q415" i="1"/>
  <c r="A416" i="1"/>
  <c r="S414" i="1"/>
  <c r="G415" i="1"/>
  <c r="C415" i="1"/>
  <c r="E415" i="1" s="1"/>
  <c r="B415" i="1" s="1"/>
  <c r="R415" i="1" s="1"/>
  <c r="O294" i="1" l="1"/>
  <c r="L294" i="1" s="1"/>
  <c r="Q416" i="1"/>
  <c r="A417" i="1"/>
  <c r="S415" i="1"/>
  <c r="G416" i="1"/>
  <c r="C416" i="1"/>
  <c r="E416" i="1" s="1"/>
  <c r="B416" i="1" s="1"/>
  <c r="R416" i="1" s="1"/>
  <c r="T294" i="1" l="1"/>
  <c r="N295" i="1"/>
  <c r="M295" i="1"/>
  <c r="O295" i="1" s="1"/>
  <c r="L295" i="1" s="1"/>
  <c r="Q417" i="1"/>
  <c r="A418" i="1"/>
  <c r="S416" i="1"/>
  <c r="G417" i="1"/>
  <c r="C417" i="1"/>
  <c r="E417" i="1" s="1"/>
  <c r="B417" i="1" s="1"/>
  <c r="R417" i="1" s="1"/>
  <c r="N296" i="1" l="1"/>
  <c r="M296" i="1"/>
  <c r="O296" i="1" s="1"/>
  <c r="L296" i="1" s="1"/>
  <c r="T295" i="1"/>
  <c r="Q418" i="1"/>
  <c r="A419" i="1"/>
  <c r="S417" i="1"/>
  <c r="G418" i="1"/>
  <c r="C418" i="1"/>
  <c r="E418" i="1" s="1"/>
  <c r="B418" i="1" s="1"/>
  <c r="R418" i="1" s="1"/>
  <c r="T296" i="1" l="1"/>
  <c r="M297" i="1"/>
  <c r="N297" i="1"/>
  <c r="Q419" i="1"/>
  <c r="A420" i="1"/>
  <c r="S418" i="1"/>
  <c r="G419" i="1"/>
  <c r="C419" i="1"/>
  <c r="E419" i="1" s="1"/>
  <c r="B419" i="1" s="1"/>
  <c r="R419" i="1" s="1"/>
  <c r="O297" i="1" l="1"/>
  <c r="L297" i="1" s="1"/>
  <c r="Q420" i="1"/>
  <c r="A421" i="1"/>
  <c r="S419" i="1"/>
  <c r="G420" i="1"/>
  <c r="C420" i="1"/>
  <c r="E420" i="1" s="1"/>
  <c r="B420" i="1" s="1"/>
  <c r="R420" i="1" s="1"/>
  <c r="N298" i="1" l="1"/>
  <c r="M298" i="1"/>
  <c r="O298" i="1" s="1"/>
  <c r="L298" i="1" s="1"/>
  <c r="T297" i="1"/>
  <c r="Q421" i="1"/>
  <c r="A422" i="1"/>
  <c r="S420" i="1"/>
  <c r="G421" i="1"/>
  <c r="C421" i="1"/>
  <c r="E421" i="1" s="1"/>
  <c r="B421" i="1" s="1"/>
  <c r="R421" i="1" s="1"/>
  <c r="T298" i="1" l="1"/>
  <c r="M299" i="1"/>
  <c r="N299" i="1"/>
  <c r="Q422" i="1"/>
  <c r="A423" i="1"/>
  <c r="S421" i="1"/>
  <c r="G422" i="1"/>
  <c r="C422" i="1"/>
  <c r="E422" i="1" s="1"/>
  <c r="B422" i="1" s="1"/>
  <c r="R422" i="1" s="1"/>
  <c r="O299" i="1" l="1"/>
  <c r="L299" i="1" s="1"/>
  <c r="Q423" i="1"/>
  <c r="A424" i="1"/>
  <c r="S422" i="1"/>
  <c r="G423" i="1"/>
  <c r="C423" i="1"/>
  <c r="E423" i="1" s="1"/>
  <c r="B423" i="1" s="1"/>
  <c r="R423" i="1" s="1"/>
  <c r="M300" i="1" l="1"/>
  <c r="N300" i="1"/>
  <c r="T299" i="1"/>
  <c r="Q424" i="1"/>
  <c r="A425" i="1"/>
  <c r="S423" i="1"/>
  <c r="G424" i="1"/>
  <c r="C424" i="1"/>
  <c r="E424" i="1" s="1"/>
  <c r="B424" i="1" s="1"/>
  <c r="R424" i="1" s="1"/>
  <c r="O300" i="1" l="1"/>
  <c r="L300" i="1" s="1"/>
  <c r="Q425" i="1"/>
  <c r="A426" i="1"/>
  <c r="S424" i="1"/>
  <c r="G425" i="1"/>
  <c r="C425" i="1"/>
  <c r="E425" i="1" s="1"/>
  <c r="B425" i="1" s="1"/>
  <c r="R425" i="1" s="1"/>
  <c r="N301" i="1" l="1"/>
  <c r="M301" i="1"/>
  <c r="O301" i="1" s="1"/>
  <c r="L301" i="1" s="1"/>
  <c r="T300" i="1"/>
  <c r="Q426" i="1"/>
  <c r="A427" i="1"/>
  <c r="S425" i="1"/>
  <c r="G426" i="1"/>
  <c r="C426" i="1"/>
  <c r="E426" i="1" s="1"/>
  <c r="B426" i="1"/>
  <c r="R426" i="1" s="1"/>
  <c r="N302" i="1" l="1"/>
  <c r="T301" i="1"/>
  <c r="M302" i="1"/>
  <c r="O302" i="1" s="1"/>
  <c r="L302" i="1" s="1"/>
  <c r="Q427" i="1"/>
  <c r="A428" i="1"/>
  <c r="S426" i="1"/>
  <c r="G427" i="1"/>
  <c r="C427" i="1"/>
  <c r="E427" i="1" s="1"/>
  <c r="B427" i="1" s="1"/>
  <c r="R427" i="1" s="1"/>
  <c r="M303" i="1" l="1"/>
  <c r="N303" i="1"/>
  <c r="T302" i="1"/>
  <c r="Q428" i="1"/>
  <c r="A429" i="1"/>
  <c r="S427" i="1"/>
  <c r="G428" i="1"/>
  <c r="C428" i="1"/>
  <c r="E428" i="1" s="1"/>
  <c r="B428" i="1" s="1"/>
  <c r="R428" i="1" s="1"/>
  <c r="O303" i="1" l="1"/>
  <c r="L303" i="1" s="1"/>
  <c r="Q429" i="1"/>
  <c r="A430" i="1"/>
  <c r="S428" i="1"/>
  <c r="G429" i="1"/>
  <c r="C429" i="1"/>
  <c r="E429" i="1" s="1"/>
  <c r="B429" i="1" s="1"/>
  <c r="R429" i="1" s="1"/>
  <c r="T303" i="1" l="1"/>
  <c r="N304" i="1"/>
  <c r="M304" i="1"/>
  <c r="O304" i="1" s="1"/>
  <c r="L304" i="1" s="1"/>
  <c r="Q430" i="1"/>
  <c r="A431" i="1"/>
  <c r="S429" i="1"/>
  <c r="G430" i="1"/>
  <c r="C430" i="1"/>
  <c r="E430" i="1" s="1"/>
  <c r="B430" i="1" s="1"/>
  <c r="R430" i="1" s="1"/>
  <c r="N305" i="1" l="1"/>
  <c r="T304" i="1"/>
  <c r="M305" i="1"/>
  <c r="O305" i="1" s="1"/>
  <c r="L305" i="1" s="1"/>
  <c r="Q431" i="1"/>
  <c r="A432" i="1"/>
  <c r="S430" i="1"/>
  <c r="G431" i="1"/>
  <c r="C431" i="1"/>
  <c r="E431" i="1" s="1"/>
  <c r="B431" i="1" s="1"/>
  <c r="R431" i="1" s="1"/>
  <c r="T305" i="1" l="1"/>
  <c r="M306" i="1"/>
  <c r="N306" i="1"/>
  <c r="Q432" i="1"/>
  <c r="A433" i="1"/>
  <c r="S431" i="1"/>
  <c r="G432" i="1"/>
  <c r="C432" i="1"/>
  <c r="E432" i="1" s="1"/>
  <c r="B432" i="1" s="1"/>
  <c r="R432" i="1" s="1"/>
  <c r="O306" i="1" l="1"/>
  <c r="L306" i="1" s="1"/>
  <c r="Q433" i="1"/>
  <c r="A434" i="1"/>
  <c r="S432" i="1"/>
  <c r="G433" i="1"/>
  <c r="C433" i="1"/>
  <c r="E433" i="1" s="1"/>
  <c r="B433" i="1" s="1"/>
  <c r="R433" i="1" s="1"/>
  <c r="N307" i="1" l="1"/>
  <c r="M307" i="1"/>
  <c r="O307" i="1" s="1"/>
  <c r="L307" i="1" s="1"/>
  <c r="T306" i="1"/>
  <c r="Q434" i="1"/>
  <c r="A435" i="1"/>
  <c r="S433" i="1"/>
  <c r="G434" i="1"/>
  <c r="C434" i="1"/>
  <c r="E434" i="1" s="1"/>
  <c r="B434" i="1" s="1"/>
  <c r="R434" i="1" s="1"/>
  <c r="N308" i="1" l="1"/>
  <c r="T307" i="1"/>
  <c r="M308" i="1"/>
  <c r="O308" i="1" s="1"/>
  <c r="L308" i="1" s="1"/>
  <c r="Q435" i="1"/>
  <c r="A436" i="1"/>
  <c r="S434" i="1"/>
  <c r="G435" i="1"/>
  <c r="C435" i="1"/>
  <c r="E435" i="1" s="1"/>
  <c r="B435" i="1" s="1"/>
  <c r="R435" i="1" s="1"/>
  <c r="M309" i="1" l="1"/>
  <c r="N309" i="1"/>
  <c r="T308" i="1"/>
  <c r="Q436" i="1"/>
  <c r="A437" i="1"/>
  <c r="S435" i="1"/>
  <c r="G436" i="1"/>
  <c r="C436" i="1"/>
  <c r="E436" i="1" s="1"/>
  <c r="B436" i="1" s="1"/>
  <c r="R436" i="1" s="1"/>
  <c r="O309" i="1" l="1"/>
  <c r="L309" i="1" s="1"/>
  <c r="Q437" i="1"/>
  <c r="A438" i="1"/>
  <c r="S436" i="1"/>
  <c r="G437" i="1"/>
  <c r="C437" i="1"/>
  <c r="E437" i="1" s="1"/>
  <c r="B437" i="1" s="1"/>
  <c r="R437" i="1" s="1"/>
  <c r="N310" i="1" l="1"/>
  <c r="T309" i="1"/>
  <c r="M310" i="1"/>
  <c r="O310" i="1" s="1"/>
  <c r="L310" i="1" s="1"/>
  <c r="Q438" i="1"/>
  <c r="A439" i="1"/>
  <c r="S437" i="1"/>
  <c r="G438" i="1"/>
  <c r="C438" i="1"/>
  <c r="E438" i="1" s="1"/>
  <c r="B438" i="1"/>
  <c r="R438" i="1" s="1"/>
  <c r="T310" i="1" l="1"/>
  <c r="M311" i="1"/>
  <c r="N311" i="1"/>
  <c r="Q439" i="1"/>
  <c r="A440" i="1"/>
  <c r="S438" i="1"/>
  <c r="G439" i="1"/>
  <c r="C439" i="1"/>
  <c r="E439" i="1" s="1"/>
  <c r="B439" i="1"/>
  <c r="R439" i="1" s="1"/>
  <c r="O311" i="1" l="1"/>
  <c r="L311" i="1" s="1"/>
  <c r="Q440" i="1"/>
  <c r="A441" i="1"/>
  <c r="S439" i="1"/>
  <c r="G440" i="1"/>
  <c r="C440" i="1"/>
  <c r="E440" i="1" s="1"/>
  <c r="B440" i="1" s="1"/>
  <c r="R440" i="1" s="1"/>
  <c r="T311" i="1" l="1"/>
  <c r="M312" i="1"/>
  <c r="N312" i="1"/>
  <c r="Q441" i="1"/>
  <c r="A442" i="1"/>
  <c r="S440" i="1"/>
  <c r="G441" i="1"/>
  <c r="C441" i="1"/>
  <c r="E441" i="1" s="1"/>
  <c r="B441" i="1" s="1"/>
  <c r="R441" i="1" s="1"/>
  <c r="O312" i="1" l="1"/>
  <c r="L312" i="1" s="1"/>
  <c r="Q442" i="1"/>
  <c r="A443" i="1"/>
  <c r="S441" i="1"/>
  <c r="G442" i="1"/>
  <c r="C442" i="1"/>
  <c r="E442" i="1" s="1"/>
  <c r="B442" i="1" s="1"/>
  <c r="R442" i="1" s="1"/>
  <c r="T312" i="1" l="1"/>
  <c r="M313" i="1"/>
  <c r="O313" i="1" s="1"/>
  <c r="L313" i="1" s="1"/>
  <c r="N313" i="1"/>
  <c r="Q443" i="1"/>
  <c r="A444" i="1"/>
  <c r="S442" i="1"/>
  <c r="G443" i="1"/>
  <c r="C443" i="1"/>
  <c r="E443" i="1" s="1"/>
  <c r="B443" i="1" s="1"/>
  <c r="R443" i="1" s="1"/>
  <c r="M314" i="1" l="1"/>
  <c r="N314" i="1"/>
  <c r="T313" i="1"/>
  <c r="Q444" i="1"/>
  <c r="A445" i="1"/>
  <c r="S443" i="1"/>
  <c r="G444" i="1"/>
  <c r="C444" i="1"/>
  <c r="E444" i="1" s="1"/>
  <c r="B444" i="1"/>
  <c r="R444" i="1" s="1"/>
  <c r="O314" i="1" l="1"/>
  <c r="L314" i="1" s="1"/>
  <c r="Q445" i="1"/>
  <c r="A446" i="1"/>
  <c r="S444" i="1"/>
  <c r="G445" i="1"/>
  <c r="C445" i="1"/>
  <c r="E445" i="1" s="1"/>
  <c r="B445" i="1" s="1"/>
  <c r="R445" i="1" s="1"/>
  <c r="M315" i="1" l="1"/>
  <c r="N315" i="1"/>
  <c r="T314" i="1"/>
  <c r="Q446" i="1"/>
  <c r="A447" i="1"/>
  <c r="S445" i="1"/>
  <c r="G446" i="1"/>
  <c r="C446" i="1"/>
  <c r="E446" i="1" s="1"/>
  <c r="B446" i="1" s="1"/>
  <c r="R446" i="1" s="1"/>
  <c r="O315" i="1" l="1"/>
  <c r="L315" i="1" s="1"/>
  <c r="Q447" i="1"/>
  <c r="A448" i="1"/>
  <c r="S446" i="1"/>
  <c r="G447" i="1"/>
  <c r="C447" i="1"/>
  <c r="E447" i="1" s="1"/>
  <c r="B447" i="1" s="1"/>
  <c r="R447" i="1" s="1"/>
  <c r="T315" i="1" l="1"/>
  <c r="M316" i="1"/>
  <c r="O316" i="1" s="1"/>
  <c r="L316" i="1" s="1"/>
  <c r="N316" i="1"/>
  <c r="Q448" i="1"/>
  <c r="A449" i="1"/>
  <c r="S447" i="1"/>
  <c r="G448" i="1"/>
  <c r="C448" i="1"/>
  <c r="E448" i="1" s="1"/>
  <c r="B448" i="1"/>
  <c r="R448" i="1" s="1"/>
  <c r="M317" i="1" l="1"/>
  <c r="O317" i="1" s="1"/>
  <c r="L317" i="1" s="1"/>
  <c r="N317" i="1"/>
  <c r="T316" i="1"/>
  <c r="Q449" i="1"/>
  <c r="A450" i="1"/>
  <c r="S448" i="1"/>
  <c r="G449" i="1"/>
  <c r="C449" i="1"/>
  <c r="E449" i="1" s="1"/>
  <c r="B449" i="1" s="1"/>
  <c r="R449" i="1" s="1"/>
  <c r="N318" i="1" l="1"/>
  <c r="M318" i="1"/>
  <c r="O318" i="1" s="1"/>
  <c r="L318" i="1" s="1"/>
  <c r="T317" i="1"/>
  <c r="Q450" i="1"/>
  <c r="A451" i="1"/>
  <c r="S449" i="1"/>
  <c r="G450" i="1"/>
  <c r="C450" i="1"/>
  <c r="E450" i="1" s="1"/>
  <c r="B450" i="1" s="1"/>
  <c r="R450" i="1" s="1"/>
  <c r="T318" i="1" l="1"/>
  <c r="M319" i="1"/>
  <c r="N319" i="1"/>
  <c r="Q451" i="1"/>
  <c r="A452" i="1"/>
  <c r="S450" i="1"/>
  <c r="G451" i="1"/>
  <c r="C451" i="1"/>
  <c r="E451" i="1" s="1"/>
  <c r="B451" i="1"/>
  <c r="R451" i="1" s="1"/>
  <c r="O319" i="1" l="1"/>
  <c r="L319" i="1" s="1"/>
  <c r="Q452" i="1"/>
  <c r="A453" i="1"/>
  <c r="S451" i="1"/>
  <c r="G452" i="1"/>
  <c r="C452" i="1"/>
  <c r="E452" i="1" s="1"/>
  <c r="B452" i="1" s="1"/>
  <c r="R452" i="1" s="1"/>
  <c r="T319" i="1" l="1"/>
  <c r="N320" i="1"/>
  <c r="M320" i="1"/>
  <c r="O320" i="1" s="1"/>
  <c r="L320" i="1" s="1"/>
  <c r="Q453" i="1"/>
  <c r="A454" i="1"/>
  <c r="S452" i="1"/>
  <c r="G453" i="1"/>
  <c r="C453" i="1"/>
  <c r="E453" i="1" s="1"/>
  <c r="B453" i="1" s="1"/>
  <c r="R453" i="1" s="1"/>
  <c r="M321" i="1" l="1"/>
  <c r="N321" i="1"/>
  <c r="T320" i="1"/>
  <c r="Q454" i="1"/>
  <c r="A455" i="1"/>
  <c r="S453" i="1"/>
  <c r="G454" i="1"/>
  <c r="C454" i="1"/>
  <c r="E454" i="1" s="1"/>
  <c r="B454" i="1" s="1"/>
  <c r="R454" i="1" s="1"/>
  <c r="O321" i="1" l="1"/>
  <c r="L321" i="1" s="1"/>
  <c r="Q455" i="1"/>
  <c r="A456" i="1"/>
  <c r="S454" i="1"/>
  <c r="G455" i="1"/>
  <c r="C455" i="1"/>
  <c r="E455" i="1" s="1"/>
  <c r="B455" i="1" s="1"/>
  <c r="R455" i="1" s="1"/>
  <c r="M322" i="1" l="1"/>
  <c r="N322" i="1"/>
  <c r="T321" i="1"/>
  <c r="Q456" i="1"/>
  <c r="A457" i="1"/>
  <c r="S455" i="1"/>
  <c r="G456" i="1"/>
  <c r="C456" i="1"/>
  <c r="E456" i="1" s="1"/>
  <c r="B456" i="1" s="1"/>
  <c r="R456" i="1" s="1"/>
  <c r="O322" i="1" l="1"/>
  <c r="L322" i="1" s="1"/>
  <c r="Q457" i="1"/>
  <c r="A458" i="1"/>
  <c r="S456" i="1"/>
  <c r="G457" i="1"/>
  <c r="C457" i="1"/>
  <c r="E457" i="1" s="1"/>
  <c r="B457" i="1" s="1"/>
  <c r="R457" i="1" s="1"/>
  <c r="M323" i="1" l="1"/>
  <c r="N323" i="1"/>
  <c r="T322" i="1"/>
  <c r="Q458" i="1"/>
  <c r="A459" i="1"/>
  <c r="S457" i="1"/>
  <c r="G458" i="1"/>
  <c r="C458" i="1"/>
  <c r="E458" i="1" s="1"/>
  <c r="B458" i="1" s="1"/>
  <c r="R458" i="1" s="1"/>
  <c r="O323" i="1" l="1"/>
  <c r="L323" i="1" s="1"/>
  <c r="Q459" i="1"/>
  <c r="A460" i="1"/>
  <c r="S458" i="1"/>
  <c r="G459" i="1"/>
  <c r="C459" i="1"/>
  <c r="E459" i="1" s="1"/>
  <c r="B459" i="1"/>
  <c r="R459" i="1" s="1"/>
  <c r="T323" i="1" l="1"/>
  <c r="N324" i="1"/>
  <c r="M324" i="1"/>
  <c r="O324" i="1" s="1"/>
  <c r="L324" i="1" s="1"/>
  <c r="Q460" i="1"/>
  <c r="A461" i="1"/>
  <c r="S459" i="1"/>
  <c r="G460" i="1"/>
  <c r="C460" i="1"/>
  <c r="E460" i="1" s="1"/>
  <c r="B460" i="1" s="1"/>
  <c r="R460" i="1" s="1"/>
  <c r="M325" i="1" l="1"/>
  <c r="N325" i="1"/>
  <c r="T324" i="1"/>
  <c r="Q461" i="1"/>
  <c r="A462" i="1"/>
  <c r="S460" i="1"/>
  <c r="G461" i="1"/>
  <c r="C461" i="1"/>
  <c r="E461" i="1" s="1"/>
  <c r="B461" i="1" s="1"/>
  <c r="R461" i="1" s="1"/>
  <c r="O325" i="1" l="1"/>
  <c r="L325" i="1" s="1"/>
  <c r="Q462" i="1"/>
  <c r="A463" i="1"/>
  <c r="S461" i="1"/>
  <c r="G462" i="1"/>
  <c r="C462" i="1"/>
  <c r="E462" i="1" s="1"/>
  <c r="B462" i="1" s="1"/>
  <c r="R462" i="1" s="1"/>
  <c r="M326" i="1" l="1"/>
  <c r="N326" i="1"/>
  <c r="T325" i="1"/>
  <c r="Q463" i="1"/>
  <c r="A464" i="1"/>
  <c r="S462" i="1"/>
  <c r="G463" i="1"/>
  <c r="C463" i="1"/>
  <c r="E463" i="1" s="1"/>
  <c r="B463" i="1" s="1"/>
  <c r="R463" i="1" s="1"/>
  <c r="O326" i="1" l="1"/>
  <c r="L326" i="1" s="1"/>
  <c r="Q464" i="1"/>
  <c r="A465" i="1"/>
  <c r="S463" i="1"/>
  <c r="G464" i="1"/>
  <c r="C464" i="1"/>
  <c r="E464" i="1" s="1"/>
  <c r="B464" i="1" s="1"/>
  <c r="R464" i="1" s="1"/>
  <c r="M327" i="1" l="1"/>
  <c r="N327" i="1"/>
  <c r="T326" i="1"/>
  <c r="Q465" i="1"/>
  <c r="A466" i="1"/>
  <c r="S464" i="1"/>
  <c r="G465" i="1"/>
  <c r="C465" i="1"/>
  <c r="E465" i="1" s="1"/>
  <c r="B465" i="1" s="1"/>
  <c r="R465" i="1" s="1"/>
  <c r="O327" i="1" l="1"/>
  <c r="L327" i="1" s="1"/>
  <c r="Q466" i="1"/>
  <c r="A467" i="1"/>
  <c r="S465" i="1"/>
  <c r="G466" i="1"/>
  <c r="C466" i="1"/>
  <c r="E466" i="1" s="1"/>
  <c r="B466" i="1" s="1"/>
  <c r="R466" i="1" s="1"/>
  <c r="M328" i="1" l="1"/>
  <c r="T327" i="1"/>
  <c r="N328" i="1"/>
  <c r="Q467" i="1"/>
  <c r="A468" i="1"/>
  <c r="S466" i="1"/>
  <c r="G467" i="1"/>
  <c r="C467" i="1"/>
  <c r="E467" i="1" s="1"/>
  <c r="B467" i="1" s="1"/>
  <c r="R467" i="1" s="1"/>
  <c r="O328" i="1" l="1"/>
  <c r="L328" i="1" s="1"/>
  <c r="Q468" i="1"/>
  <c r="A469" i="1"/>
  <c r="S467" i="1"/>
  <c r="G468" i="1"/>
  <c r="C468" i="1"/>
  <c r="E468" i="1" s="1"/>
  <c r="B468" i="1"/>
  <c r="R468" i="1" s="1"/>
  <c r="M329" i="1" l="1"/>
  <c r="T328" i="1"/>
  <c r="N329" i="1"/>
  <c r="Q469" i="1"/>
  <c r="A470" i="1"/>
  <c r="S468" i="1"/>
  <c r="G469" i="1"/>
  <c r="C469" i="1"/>
  <c r="E469" i="1" s="1"/>
  <c r="B469" i="1" s="1"/>
  <c r="R469" i="1" s="1"/>
  <c r="O329" i="1" l="1"/>
  <c r="L329" i="1" s="1"/>
  <c r="Q470" i="1"/>
  <c r="A471" i="1"/>
  <c r="S469" i="1"/>
  <c r="G470" i="1"/>
  <c r="C470" i="1"/>
  <c r="E470" i="1" s="1"/>
  <c r="B470" i="1" s="1"/>
  <c r="R470" i="1" s="1"/>
  <c r="N330" i="1" l="1"/>
  <c r="T329" i="1"/>
  <c r="M330" i="1"/>
  <c r="Q471" i="1"/>
  <c r="A472" i="1"/>
  <c r="S470" i="1"/>
  <c r="G471" i="1"/>
  <c r="C471" i="1"/>
  <c r="E471" i="1" s="1"/>
  <c r="B471" i="1" s="1"/>
  <c r="R471" i="1" s="1"/>
  <c r="O330" i="1" l="1"/>
  <c r="L330" i="1" s="1"/>
  <c r="Q472" i="1"/>
  <c r="A473" i="1"/>
  <c r="S471" i="1"/>
  <c r="G472" i="1"/>
  <c r="C472" i="1"/>
  <c r="E472" i="1" s="1"/>
  <c r="B472" i="1" s="1"/>
  <c r="R472" i="1" s="1"/>
  <c r="M331" i="1" l="1"/>
  <c r="T330" i="1"/>
  <c r="N331" i="1"/>
  <c r="Q473" i="1"/>
  <c r="A474" i="1"/>
  <c r="S472" i="1"/>
  <c r="G473" i="1"/>
  <c r="C473" i="1"/>
  <c r="E473" i="1" s="1"/>
  <c r="B473" i="1" s="1"/>
  <c r="R473" i="1" s="1"/>
  <c r="O331" i="1" l="1"/>
  <c r="L331" i="1" s="1"/>
  <c r="Q474" i="1"/>
  <c r="A475" i="1"/>
  <c r="S473" i="1"/>
  <c r="G474" i="1"/>
  <c r="C474" i="1"/>
  <c r="E474" i="1" s="1"/>
  <c r="B474" i="1" s="1"/>
  <c r="R474" i="1" s="1"/>
  <c r="M332" i="1" l="1"/>
  <c r="N332" i="1"/>
  <c r="T331" i="1"/>
  <c r="Q475" i="1"/>
  <c r="A476" i="1"/>
  <c r="S474" i="1"/>
  <c r="G475" i="1"/>
  <c r="C475" i="1"/>
  <c r="E475" i="1" s="1"/>
  <c r="B475" i="1" s="1"/>
  <c r="R475" i="1" s="1"/>
  <c r="O332" i="1" l="1"/>
  <c r="L332" i="1" s="1"/>
  <c r="Q476" i="1"/>
  <c r="A477" i="1"/>
  <c r="S475" i="1"/>
  <c r="G476" i="1"/>
  <c r="C476" i="1"/>
  <c r="E476" i="1" s="1"/>
  <c r="B476" i="1" s="1"/>
  <c r="R476" i="1" s="1"/>
  <c r="T332" i="1" l="1"/>
  <c r="N333" i="1"/>
  <c r="M333" i="1"/>
  <c r="O333" i="1" s="1"/>
  <c r="L333" i="1" s="1"/>
  <c r="Q477" i="1"/>
  <c r="A478" i="1"/>
  <c r="S476" i="1"/>
  <c r="G477" i="1"/>
  <c r="C477" i="1"/>
  <c r="E477" i="1" s="1"/>
  <c r="B477" i="1" s="1"/>
  <c r="R477" i="1" s="1"/>
  <c r="M334" i="1" l="1"/>
  <c r="O334" i="1" s="1"/>
  <c r="L334" i="1" s="1"/>
  <c r="N334" i="1"/>
  <c r="T333" i="1"/>
  <c r="Q478" i="1"/>
  <c r="A479" i="1"/>
  <c r="S477" i="1"/>
  <c r="G478" i="1"/>
  <c r="C478" i="1"/>
  <c r="E478" i="1" s="1"/>
  <c r="B478" i="1" s="1"/>
  <c r="R478" i="1" s="1"/>
  <c r="T334" i="1" l="1"/>
  <c r="N335" i="1"/>
  <c r="M335" i="1"/>
  <c r="Q479" i="1"/>
  <c r="A480" i="1"/>
  <c r="S478" i="1"/>
  <c r="G479" i="1"/>
  <c r="C479" i="1"/>
  <c r="E479" i="1" s="1"/>
  <c r="B479" i="1" s="1"/>
  <c r="R479" i="1" s="1"/>
  <c r="O335" i="1" l="1"/>
  <c r="L335" i="1" s="1"/>
  <c r="Q480" i="1"/>
  <c r="A481" i="1"/>
  <c r="S479" i="1"/>
  <c r="G480" i="1"/>
  <c r="C480" i="1"/>
  <c r="E480" i="1" s="1"/>
  <c r="B480" i="1" s="1"/>
  <c r="R480" i="1" s="1"/>
  <c r="T335" i="1" l="1"/>
  <c r="M336" i="1"/>
  <c r="N336" i="1"/>
  <c r="Q481" i="1"/>
  <c r="A482" i="1"/>
  <c r="S480" i="1"/>
  <c r="G481" i="1"/>
  <c r="C481" i="1"/>
  <c r="E481" i="1" s="1"/>
  <c r="B481" i="1" s="1"/>
  <c r="R481" i="1" s="1"/>
  <c r="O336" i="1" l="1"/>
  <c r="L336" i="1" s="1"/>
  <c r="Q482" i="1"/>
  <c r="A483" i="1"/>
  <c r="S481" i="1"/>
  <c r="G482" i="1"/>
  <c r="C482" i="1"/>
  <c r="E482" i="1" s="1"/>
  <c r="B482" i="1"/>
  <c r="R482" i="1" s="1"/>
  <c r="T336" i="1" l="1"/>
  <c r="M337" i="1"/>
  <c r="O337" i="1" s="1"/>
  <c r="L337" i="1" s="1"/>
  <c r="N337" i="1"/>
  <c r="Q483" i="1"/>
  <c r="A484" i="1"/>
  <c r="S482" i="1"/>
  <c r="G483" i="1"/>
  <c r="C483" i="1"/>
  <c r="E483" i="1" s="1"/>
  <c r="B483" i="1" s="1"/>
  <c r="R483" i="1" s="1"/>
  <c r="T337" i="1" l="1"/>
  <c r="N338" i="1"/>
  <c r="M338" i="1"/>
  <c r="O338" i="1" s="1"/>
  <c r="L338" i="1" s="1"/>
  <c r="Q484" i="1"/>
  <c r="A485" i="1"/>
  <c r="S483" i="1"/>
  <c r="G484" i="1"/>
  <c r="C484" i="1"/>
  <c r="E484" i="1" s="1"/>
  <c r="B484" i="1" s="1"/>
  <c r="R484" i="1" s="1"/>
  <c r="M339" i="1" l="1"/>
  <c r="O339" i="1" s="1"/>
  <c r="L339" i="1" s="1"/>
  <c r="T338" i="1"/>
  <c r="N339" i="1"/>
  <c r="Q485" i="1"/>
  <c r="A486" i="1"/>
  <c r="S484" i="1"/>
  <c r="G485" i="1"/>
  <c r="C485" i="1"/>
  <c r="E485" i="1" s="1"/>
  <c r="B485" i="1" s="1"/>
  <c r="R485" i="1" s="1"/>
  <c r="N340" i="1" l="1"/>
  <c r="M340" i="1"/>
  <c r="O340" i="1" s="1"/>
  <c r="L340" i="1" s="1"/>
  <c r="T339" i="1"/>
  <c r="Q486" i="1"/>
  <c r="A487" i="1"/>
  <c r="S485" i="1"/>
  <c r="G486" i="1"/>
  <c r="C486" i="1"/>
  <c r="E486" i="1" s="1"/>
  <c r="B486" i="1" s="1"/>
  <c r="R486" i="1" s="1"/>
  <c r="N341" i="1" l="1"/>
  <c r="M341" i="1"/>
  <c r="O341" i="1" s="1"/>
  <c r="L341" i="1" s="1"/>
  <c r="T340" i="1"/>
  <c r="Q487" i="1"/>
  <c r="A488" i="1"/>
  <c r="S486" i="1"/>
  <c r="G487" i="1"/>
  <c r="C487" i="1"/>
  <c r="E487" i="1" s="1"/>
  <c r="B487" i="1" s="1"/>
  <c r="R487" i="1" s="1"/>
  <c r="N342" i="1" l="1"/>
  <c r="M342" i="1"/>
  <c r="O342" i="1" s="1"/>
  <c r="L342" i="1" s="1"/>
  <c r="T341" i="1"/>
  <c r="Q488" i="1"/>
  <c r="A489" i="1"/>
  <c r="S487" i="1"/>
  <c r="G488" i="1"/>
  <c r="C488" i="1"/>
  <c r="E488" i="1" s="1"/>
  <c r="B488" i="1" s="1"/>
  <c r="R488" i="1" s="1"/>
  <c r="M343" i="1" l="1"/>
  <c r="O343" i="1" s="1"/>
  <c r="L343" i="1" s="1"/>
  <c r="N343" i="1"/>
  <c r="T342" i="1"/>
  <c r="Q489" i="1"/>
  <c r="A490" i="1"/>
  <c r="S488" i="1"/>
  <c r="G489" i="1"/>
  <c r="C489" i="1"/>
  <c r="E489" i="1" s="1"/>
  <c r="B489" i="1" s="1"/>
  <c r="R489" i="1" s="1"/>
  <c r="M344" i="1" l="1"/>
  <c r="N344" i="1"/>
  <c r="T343" i="1"/>
  <c r="Q490" i="1"/>
  <c r="A491" i="1"/>
  <c r="S489" i="1"/>
  <c r="G490" i="1"/>
  <c r="C490" i="1"/>
  <c r="E490" i="1" s="1"/>
  <c r="B490" i="1" s="1"/>
  <c r="R490" i="1" s="1"/>
  <c r="O344" i="1" l="1"/>
  <c r="L344" i="1" s="1"/>
  <c r="Q491" i="1"/>
  <c r="A492" i="1"/>
  <c r="S490" i="1"/>
  <c r="G491" i="1"/>
  <c r="C491" i="1"/>
  <c r="E491" i="1" s="1"/>
  <c r="B491" i="1" s="1"/>
  <c r="R491" i="1" s="1"/>
  <c r="M345" i="1" l="1"/>
  <c r="N345" i="1"/>
  <c r="T344" i="1"/>
  <c r="Q492" i="1"/>
  <c r="A493" i="1"/>
  <c r="S491" i="1"/>
  <c r="G492" i="1"/>
  <c r="C492" i="1"/>
  <c r="E492" i="1" s="1"/>
  <c r="B492" i="1" s="1"/>
  <c r="R492" i="1" s="1"/>
  <c r="O345" i="1" l="1"/>
  <c r="L345" i="1" s="1"/>
  <c r="Q493" i="1"/>
  <c r="A494" i="1"/>
  <c r="S492" i="1"/>
  <c r="G493" i="1"/>
  <c r="C493" i="1"/>
  <c r="E493" i="1" s="1"/>
  <c r="B493" i="1" s="1"/>
  <c r="R493" i="1" s="1"/>
  <c r="N346" i="1" l="1"/>
  <c r="M346" i="1"/>
  <c r="O346" i="1" s="1"/>
  <c r="L346" i="1" s="1"/>
  <c r="T345" i="1"/>
  <c r="Q494" i="1"/>
  <c r="A495" i="1"/>
  <c r="S493" i="1"/>
  <c r="G494" i="1"/>
  <c r="C494" i="1"/>
  <c r="E494" i="1" s="1"/>
  <c r="B494" i="1" s="1"/>
  <c r="R494" i="1" s="1"/>
  <c r="T346" i="1" l="1"/>
  <c r="M347" i="1"/>
  <c r="N347" i="1"/>
  <c r="Q495" i="1"/>
  <c r="A496" i="1"/>
  <c r="S494" i="1"/>
  <c r="G495" i="1"/>
  <c r="C495" i="1"/>
  <c r="E495" i="1" s="1"/>
  <c r="B495" i="1" s="1"/>
  <c r="R495" i="1" s="1"/>
  <c r="O347" i="1" l="1"/>
  <c r="L347" i="1" s="1"/>
  <c r="Q496" i="1"/>
  <c r="A497" i="1"/>
  <c r="S495" i="1"/>
  <c r="G496" i="1"/>
  <c r="C496" i="1"/>
  <c r="E496" i="1" s="1"/>
  <c r="B496" i="1" s="1"/>
  <c r="R496" i="1" s="1"/>
  <c r="T347" i="1" l="1"/>
  <c r="N348" i="1"/>
  <c r="M348" i="1"/>
  <c r="O348" i="1" s="1"/>
  <c r="L348" i="1" s="1"/>
  <c r="Q497" i="1"/>
  <c r="A498" i="1"/>
  <c r="S496" i="1"/>
  <c r="G497" i="1"/>
  <c r="C497" i="1"/>
  <c r="E497" i="1" s="1"/>
  <c r="B497" i="1" s="1"/>
  <c r="R497" i="1" s="1"/>
  <c r="T348" i="1" l="1"/>
  <c r="M349" i="1"/>
  <c r="N349" i="1"/>
  <c r="Q498" i="1"/>
  <c r="A499" i="1"/>
  <c r="S497" i="1"/>
  <c r="G498" i="1"/>
  <c r="C498" i="1"/>
  <c r="E498" i="1" s="1"/>
  <c r="B498" i="1" s="1"/>
  <c r="R498" i="1" s="1"/>
  <c r="O349" i="1" l="1"/>
  <c r="L349" i="1" s="1"/>
  <c r="Q499" i="1"/>
  <c r="A500" i="1"/>
  <c r="S498" i="1"/>
  <c r="G499" i="1"/>
  <c r="C499" i="1"/>
  <c r="E499" i="1" s="1"/>
  <c r="B499" i="1" s="1"/>
  <c r="R499" i="1" s="1"/>
  <c r="T349" i="1" l="1"/>
  <c r="N350" i="1"/>
  <c r="M350" i="1"/>
  <c r="O350" i="1" s="1"/>
  <c r="L350" i="1" s="1"/>
  <c r="Q500" i="1"/>
  <c r="A501" i="1"/>
  <c r="S499" i="1"/>
  <c r="G500" i="1"/>
  <c r="C500" i="1"/>
  <c r="E500" i="1" s="1"/>
  <c r="B500" i="1" s="1"/>
  <c r="R500" i="1" s="1"/>
  <c r="M351" i="1" l="1"/>
  <c r="N351" i="1"/>
  <c r="T350" i="1"/>
  <c r="Q501" i="1"/>
  <c r="A502" i="1"/>
  <c r="S500" i="1"/>
  <c r="G501" i="1"/>
  <c r="C501" i="1"/>
  <c r="E501" i="1" s="1"/>
  <c r="B501" i="1" s="1"/>
  <c r="R501" i="1" s="1"/>
  <c r="O351" i="1" l="1"/>
  <c r="L351" i="1" s="1"/>
  <c r="Q502" i="1"/>
  <c r="A503" i="1"/>
  <c r="S501" i="1"/>
  <c r="G502" i="1"/>
  <c r="C502" i="1"/>
  <c r="E502" i="1" s="1"/>
  <c r="B502" i="1" s="1"/>
  <c r="R502" i="1" s="1"/>
  <c r="T351" i="1" l="1"/>
  <c r="M352" i="1"/>
  <c r="N352" i="1"/>
  <c r="Q503" i="1"/>
  <c r="A504" i="1"/>
  <c r="S502" i="1"/>
  <c r="G503" i="1"/>
  <c r="C503" i="1"/>
  <c r="E503" i="1" s="1"/>
  <c r="B503" i="1" s="1"/>
  <c r="R503" i="1" s="1"/>
  <c r="O352" i="1" l="1"/>
  <c r="L352" i="1" s="1"/>
  <c r="Q504" i="1"/>
  <c r="A505" i="1"/>
  <c r="S503" i="1"/>
  <c r="G504" i="1"/>
  <c r="C504" i="1"/>
  <c r="E504" i="1" s="1"/>
  <c r="B504" i="1" s="1"/>
  <c r="R504" i="1" s="1"/>
  <c r="M353" i="1" l="1"/>
  <c r="N353" i="1"/>
  <c r="T352" i="1"/>
  <c r="Q505" i="1"/>
  <c r="A506" i="1"/>
  <c r="S504" i="1"/>
  <c r="G505" i="1"/>
  <c r="C505" i="1"/>
  <c r="E505" i="1" s="1"/>
  <c r="B505" i="1" s="1"/>
  <c r="R505" i="1" s="1"/>
  <c r="O353" i="1" l="1"/>
  <c r="L353" i="1" s="1"/>
  <c r="Q506" i="1"/>
  <c r="A507" i="1"/>
  <c r="S505" i="1"/>
  <c r="G506" i="1"/>
  <c r="C506" i="1"/>
  <c r="E506" i="1" s="1"/>
  <c r="B506" i="1" s="1"/>
  <c r="R506" i="1" s="1"/>
  <c r="N354" i="1" l="1"/>
  <c r="T353" i="1"/>
  <c r="M354" i="1"/>
  <c r="O354" i="1" s="1"/>
  <c r="L354" i="1" s="1"/>
  <c r="Q507" i="1"/>
  <c r="A508" i="1"/>
  <c r="S506" i="1"/>
  <c r="G507" i="1"/>
  <c r="C507" i="1"/>
  <c r="E507" i="1" s="1"/>
  <c r="B507" i="1" s="1"/>
  <c r="R507" i="1" s="1"/>
  <c r="N355" i="1" l="1"/>
  <c r="T354" i="1"/>
  <c r="M355" i="1"/>
  <c r="O355" i="1" s="1"/>
  <c r="L355" i="1" s="1"/>
  <c r="Q508" i="1"/>
  <c r="A509" i="1"/>
  <c r="S507" i="1"/>
  <c r="G508" i="1"/>
  <c r="C508" i="1"/>
  <c r="E508" i="1" s="1"/>
  <c r="B508" i="1" s="1"/>
  <c r="R508" i="1" s="1"/>
  <c r="M356" i="1" l="1"/>
  <c r="N356" i="1"/>
  <c r="T355" i="1"/>
  <c r="Q509" i="1"/>
  <c r="A510" i="1"/>
  <c r="S508" i="1"/>
  <c r="G509" i="1"/>
  <c r="C509" i="1"/>
  <c r="E509" i="1" s="1"/>
  <c r="B509" i="1" s="1"/>
  <c r="R509" i="1" s="1"/>
  <c r="O356" i="1" l="1"/>
  <c r="L356" i="1" s="1"/>
  <c r="Q510" i="1"/>
  <c r="A511" i="1"/>
  <c r="S509" i="1"/>
  <c r="G510" i="1"/>
  <c r="C510" i="1"/>
  <c r="E510" i="1" s="1"/>
  <c r="B510" i="1" s="1"/>
  <c r="R510" i="1" s="1"/>
  <c r="M357" i="1" l="1"/>
  <c r="N357" i="1"/>
  <c r="T356" i="1"/>
  <c r="Q511" i="1"/>
  <c r="A512" i="1"/>
  <c r="Q512" i="1" s="1"/>
  <c r="S510" i="1"/>
  <c r="G511" i="1"/>
  <c r="C511" i="1"/>
  <c r="E511" i="1" s="1"/>
  <c r="B511" i="1" s="1"/>
  <c r="R511" i="1" s="1"/>
  <c r="O357" i="1" l="1"/>
  <c r="L357" i="1" s="1"/>
  <c r="S511" i="1"/>
  <c r="G512" i="1"/>
  <c r="S512" i="1" s="1"/>
  <c r="C512" i="1"/>
  <c r="E512" i="1" s="1"/>
  <c r="B512" i="1"/>
  <c r="R512" i="1" s="1"/>
  <c r="N358" i="1" l="1"/>
  <c r="T357" i="1"/>
  <c r="M358" i="1"/>
  <c r="O358" i="1" s="1"/>
  <c r="L358" i="1" s="1"/>
  <c r="N359" i="1" l="1"/>
  <c r="M359" i="1"/>
  <c r="O359" i="1" s="1"/>
  <c r="L359" i="1" s="1"/>
  <c r="T358" i="1"/>
  <c r="T359" i="1" l="1"/>
  <c r="M360" i="1"/>
  <c r="N360" i="1"/>
  <c r="O360" i="1" l="1"/>
  <c r="L360" i="1" s="1"/>
  <c r="N361" i="1" l="1"/>
  <c r="T360" i="1"/>
  <c r="M361" i="1"/>
  <c r="O361" i="1" s="1"/>
  <c r="L361" i="1" s="1"/>
  <c r="M362" i="1" l="1"/>
  <c r="O362" i="1" s="1"/>
  <c r="L362" i="1" s="1"/>
  <c r="N362" i="1"/>
  <c r="T361" i="1"/>
  <c r="M363" i="1" l="1"/>
  <c r="N363" i="1"/>
  <c r="T362" i="1"/>
  <c r="O363" i="1" l="1"/>
  <c r="L363" i="1" s="1"/>
  <c r="N364" i="1" l="1"/>
  <c r="T363" i="1"/>
  <c r="M364" i="1"/>
  <c r="O364" i="1" l="1"/>
  <c r="L364" i="1" s="1"/>
  <c r="T364" i="1" l="1"/>
  <c r="N365" i="1"/>
  <c r="M365" i="1"/>
  <c r="O365" i="1" s="1"/>
  <c r="L365" i="1" s="1"/>
  <c r="M366" i="1" l="1"/>
  <c r="T365" i="1"/>
  <c r="N366" i="1"/>
  <c r="O366" i="1" l="1"/>
  <c r="L366" i="1" s="1"/>
  <c r="T366" i="1" l="1"/>
  <c r="M367" i="1"/>
  <c r="N367" i="1"/>
  <c r="O367" i="1" l="1"/>
  <c r="L367" i="1" s="1"/>
  <c r="T367" i="1" l="1"/>
  <c r="N368" i="1"/>
  <c r="M368" i="1"/>
  <c r="O368" i="1" l="1"/>
  <c r="L368" i="1" s="1"/>
  <c r="T368" i="1" l="1"/>
  <c r="N369" i="1"/>
  <c r="M369" i="1"/>
  <c r="O369" i="1" l="1"/>
  <c r="L369" i="1" s="1"/>
  <c r="M370" i="1" l="1"/>
  <c r="N370" i="1"/>
  <c r="T369" i="1"/>
  <c r="O370" i="1" l="1"/>
  <c r="L370" i="1" s="1"/>
  <c r="M371" i="1" l="1"/>
  <c r="N371" i="1"/>
  <c r="T370" i="1"/>
  <c r="O371" i="1" l="1"/>
  <c r="L371" i="1" s="1"/>
  <c r="T371" i="1" l="1"/>
  <c r="N372" i="1"/>
  <c r="M372" i="1"/>
  <c r="O372" i="1" s="1"/>
  <c r="L372" i="1" s="1"/>
  <c r="T372" i="1" l="1"/>
  <c r="M373" i="1"/>
  <c r="O373" i="1" s="1"/>
  <c r="L373" i="1" s="1"/>
  <c r="N373" i="1"/>
  <c r="N374" i="1" l="1"/>
  <c r="T373" i="1"/>
  <c r="M374" i="1"/>
  <c r="O374" i="1" s="1"/>
  <c r="L374" i="1" s="1"/>
  <c r="T374" i="1" l="1"/>
  <c r="N375" i="1"/>
  <c r="M375" i="1"/>
  <c r="O375" i="1" s="1"/>
  <c r="L375" i="1" s="1"/>
  <c r="T375" i="1" l="1"/>
  <c r="M376" i="1"/>
  <c r="O376" i="1" s="1"/>
  <c r="L376" i="1" s="1"/>
  <c r="N376" i="1"/>
  <c r="M377" i="1" l="1"/>
  <c r="N377" i="1"/>
  <c r="T376" i="1"/>
  <c r="O377" i="1" l="1"/>
  <c r="L377" i="1" s="1"/>
  <c r="T377" i="1" l="1"/>
  <c r="N378" i="1"/>
  <c r="M378" i="1"/>
  <c r="O378" i="1" s="1"/>
  <c r="L378" i="1" s="1"/>
  <c r="N379" i="1" l="1"/>
  <c r="T378" i="1"/>
  <c r="M379" i="1"/>
  <c r="O379" i="1" s="1"/>
  <c r="L379" i="1" s="1"/>
  <c r="T379" i="1" l="1"/>
  <c r="M380" i="1"/>
  <c r="O380" i="1" s="1"/>
  <c r="L380" i="1" s="1"/>
  <c r="N380" i="1"/>
  <c r="T380" i="1" l="1"/>
  <c r="N381" i="1"/>
  <c r="M381" i="1"/>
  <c r="O381" i="1" s="1"/>
  <c r="L381" i="1" s="1"/>
  <c r="N382" i="1" l="1"/>
  <c r="M382" i="1"/>
  <c r="O382" i="1" s="1"/>
  <c r="L382" i="1" s="1"/>
  <c r="T381" i="1"/>
  <c r="T382" i="1" l="1"/>
  <c r="M383" i="1"/>
  <c r="N383" i="1"/>
  <c r="O383" i="1" l="1"/>
  <c r="L383" i="1" s="1"/>
  <c r="M384" i="1" l="1"/>
  <c r="O384" i="1" s="1"/>
  <c r="L384" i="1" s="1"/>
  <c r="T383" i="1"/>
  <c r="N384" i="1"/>
  <c r="M385" i="1" l="1"/>
  <c r="N385" i="1"/>
  <c r="T384" i="1"/>
  <c r="O385" i="1" l="1"/>
  <c r="L385" i="1" s="1"/>
  <c r="M386" i="1" l="1"/>
  <c r="N386" i="1"/>
  <c r="T385" i="1"/>
  <c r="O386" i="1" l="1"/>
  <c r="L386" i="1" s="1"/>
  <c r="N387" i="1" l="1"/>
  <c r="T386" i="1"/>
  <c r="M387" i="1"/>
  <c r="O387" i="1" s="1"/>
  <c r="L387" i="1" s="1"/>
  <c r="N388" i="1" l="1"/>
  <c r="M388" i="1"/>
  <c r="O388" i="1" s="1"/>
  <c r="L388" i="1" s="1"/>
  <c r="T387" i="1"/>
  <c r="N389" i="1" l="1"/>
  <c r="M389" i="1"/>
  <c r="O389" i="1" s="1"/>
  <c r="L389" i="1" s="1"/>
  <c r="T388" i="1"/>
  <c r="M390" i="1" l="1"/>
  <c r="O390" i="1" s="1"/>
  <c r="L390" i="1" s="1"/>
  <c r="N390" i="1"/>
  <c r="T389" i="1"/>
  <c r="N391" i="1" l="1"/>
  <c r="T390" i="1"/>
  <c r="M391" i="1"/>
  <c r="O391" i="1" s="1"/>
  <c r="L391" i="1" s="1"/>
  <c r="M392" i="1" l="1"/>
  <c r="T391" i="1"/>
  <c r="N392" i="1"/>
  <c r="O392" i="1" l="1"/>
  <c r="L392" i="1" s="1"/>
  <c r="N393" i="1" l="1"/>
  <c r="M393" i="1"/>
  <c r="T392" i="1"/>
  <c r="O393" i="1" l="1"/>
  <c r="L393" i="1" s="1"/>
  <c r="N394" i="1" l="1"/>
  <c r="M394" i="1"/>
  <c r="O394" i="1" s="1"/>
  <c r="L394" i="1" s="1"/>
  <c r="T393" i="1"/>
  <c r="M395" i="1" l="1"/>
  <c r="O395" i="1" s="1"/>
  <c r="L395" i="1" s="1"/>
  <c r="T394" i="1"/>
  <c r="N395" i="1"/>
  <c r="N396" i="1" l="1"/>
  <c r="T395" i="1"/>
  <c r="M396" i="1"/>
  <c r="O396" i="1" l="1"/>
  <c r="L396" i="1" s="1"/>
  <c r="T396" i="1" l="1"/>
  <c r="N397" i="1"/>
  <c r="M397" i="1"/>
  <c r="O397" i="1" s="1"/>
  <c r="L397" i="1" s="1"/>
  <c r="N398" i="1" l="1"/>
  <c r="M398" i="1"/>
  <c r="O398" i="1" s="1"/>
  <c r="L398" i="1" s="1"/>
  <c r="T397" i="1"/>
  <c r="T398" i="1" l="1"/>
  <c r="M399" i="1"/>
  <c r="N399" i="1"/>
  <c r="O399" i="1" l="1"/>
  <c r="L399" i="1" s="1"/>
  <c r="M400" i="1" l="1"/>
  <c r="O400" i="1" s="1"/>
  <c r="L400" i="1" s="1"/>
  <c r="N400" i="1"/>
  <c r="T399" i="1"/>
  <c r="T400" i="1" l="1"/>
  <c r="N401" i="1"/>
  <c r="M401" i="1"/>
  <c r="O401" i="1" s="1"/>
  <c r="L401" i="1" s="1"/>
  <c r="N402" i="1" l="1"/>
  <c r="T401" i="1"/>
  <c r="M402" i="1"/>
  <c r="O402" i="1" s="1"/>
  <c r="L402" i="1" s="1"/>
  <c r="M403" i="1" l="1"/>
  <c r="O403" i="1" s="1"/>
  <c r="L403" i="1" s="1"/>
  <c r="T402" i="1"/>
  <c r="N403" i="1"/>
  <c r="M404" i="1" l="1"/>
  <c r="O404" i="1" s="1"/>
  <c r="L404" i="1" s="1"/>
  <c r="T403" i="1"/>
  <c r="N404" i="1"/>
  <c r="N405" i="1" l="1"/>
  <c r="M405" i="1"/>
  <c r="O405" i="1" s="1"/>
  <c r="L405" i="1" s="1"/>
  <c r="T404" i="1"/>
  <c r="N406" i="1" l="1"/>
  <c r="M406" i="1"/>
  <c r="O406" i="1" s="1"/>
  <c r="L406" i="1" s="1"/>
  <c r="T405" i="1"/>
  <c r="N407" i="1" l="1"/>
  <c r="M407" i="1"/>
  <c r="O407" i="1" s="1"/>
  <c r="L407" i="1" s="1"/>
  <c r="T406" i="1"/>
  <c r="T407" i="1" l="1"/>
  <c r="M408" i="1"/>
  <c r="O408" i="1" s="1"/>
  <c r="L408" i="1" s="1"/>
  <c r="N408" i="1"/>
  <c r="N409" i="1" l="1"/>
  <c r="M409" i="1"/>
  <c r="T408" i="1"/>
  <c r="O409" i="1" l="1"/>
  <c r="L409" i="1" s="1"/>
  <c r="T409" i="1" l="1"/>
  <c r="N410" i="1"/>
  <c r="M410" i="1"/>
  <c r="O410" i="1" s="1"/>
  <c r="L410" i="1" s="1"/>
  <c r="T410" i="1" l="1"/>
  <c r="N411" i="1"/>
  <c r="M411" i="1"/>
  <c r="O411" i="1" s="1"/>
  <c r="L411" i="1" s="1"/>
  <c r="M412" i="1" l="1"/>
  <c r="O412" i="1" s="1"/>
  <c r="L412" i="1" s="1"/>
  <c r="T411" i="1"/>
  <c r="N412" i="1"/>
  <c r="M413" i="1" l="1"/>
  <c r="O413" i="1" s="1"/>
  <c r="L413" i="1" s="1"/>
  <c r="T412" i="1"/>
  <c r="N413" i="1"/>
  <c r="N414" i="1" l="1"/>
  <c r="T413" i="1"/>
  <c r="M414" i="1"/>
  <c r="O414" i="1" l="1"/>
  <c r="L414" i="1" s="1"/>
  <c r="M415" i="1" l="1"/>
  <c r="N415" i="1"/>
  <c r="T414" i="1"/>
  <c r="O415" i="1" l="1"/>
  <c r="L415" i="1" s="1"/>
  <c r="T415" i="1" l="1"/>
  <c r="M416" i="1"/>
  <c r="O416" i="1" s="1"/>
  <c r="L416" i="1" s="1"/>
  <c r="N416" i="1"/>
  <c r="M417" i="1" l="1"/>
  <c r="T416" i="1"/>
  <c r="N417" i="1"/>
  <c r="O417" i="1" l="1"/>
  <c r="L417" i="1" s="1"/>
  <c r="M418" i="1" l="1"/>
  <c r="N418" i="1"/>
  <c r="T417" i="1"/>
  <c r="O418" i="1" l="1"/>
  <c r="L418" i="1" s="1"/>
  <c r="N419" i="1" l="1"/>
  <c r="M419" i="1"/>
  <c r="O419" i="1" s="1"/>
  <c r="L419" i="1" s="1"/>
  <c r="T418" i="1"/>
  <c r="N420" i="1" l="1"/>
  <c r="M420" i="1"/>
  <c r="O420" i="1" s="1"/>
  <c r="L420" i="1" s="1"/>
  <c r="T419" i="1"/>
  <c r="T420" i="1" l="1"/>
  <c r="N421" i="1"/>
  <c r="M421" i="1"/>
  <c r="O421" i="1" s="1"/>
  <c r="L421" i="1" s="1"/>
  <c r="T421" i="1" l="1"/>
  <c r="M422" i="1"/>
  <c r="O422" i="1" s="1"/>
  <c r="L422" i="1" s="1"/>
  <c r="N422" i="1"/>
  <c r="N423" i="1" l="1"/>
  <c r="T422" i="1"/>
  <c r="M423" i="1"/>
  <c r="O423" i="1" s="1"/>
  <c r="L423" i="1" s="1"/>
  <c r="T423" i="1" l="1"/>
  <c r="M424" i="1"/>
  <c r="N424" i="1"/>
  <c r="O424" i="1" l="1"/>
  <c r="L424" i="1" s="1"/>
  <c r="T424" i="1" l="1"/>
  <c r="M425" i="1"/>
  <c r="O425" i="1" s="1"/>
  <c r="L425" i="1" s="1"/>
  <c r="N425" i="1"/>
  <c r="T425" i="1" l="1"/>
  <c r="N426" i="1"/>
  <c r="M426" i="1"/>
  <c r="O426" i="1" s="1"/>
  <c r="L426" i="1" s="1"/>
  <c r="T426" i="1" l="1"/>
  <c r="N427" i="1"/>
  <c r="M427" i="1"/>
  <c r="O427" i="1" s="1"/>
  <c r="L427" i="1" s="1"/>
  <c r="T427" i="1" l="1"/>
  <c r="M428" i="1"/>
  <c r="N428" i="1"/>
  <c r="O428" i="1" l="1"/>
  <c r="L428" i="1" s="1"/>
  <c r="M429" i="1" l="1"/>
  <c r="T428" i="1"/>
  <c r="N429" i="1"/>
  <c r="O429" i="1" l="1"/>
  <c r="L429" i="1" s="1"/>
  <c r="T429" i="1" l="1"/>
  <c r="N430" i="1"/>
  <c r="M430" i="1"/>
  <c r="O430" i="1" s="1"/>
  <c r="L430" i="1" s="1"/>
  <c r="T430" i="1" l="1"/>
  <c r="N431" i="1"/>
  <c r="M431" i="1"/>
  <c r="O431" i="1" s="1"/>
  <c r="L431" i="1" s="1"/>
  <c r="M432" i="1" l="1"/>
  <c r="N432" i="1"/>
  <c r="T431" i="1"/>
  <c r="O432" i="1" l="1"/>
  <c r="L432" i="1" s="1"/>
  <c r="T432" i="1" l="1"/>
  <c r="M433" i="1"/>
  <c r="O433" i="1" s="1"/>
  <c r="L433" i="1" s="1"/>
  <c r="N433" i="1"/>
  <c r="M434" i="1" l="1"/>
  <c r="N434" i="1"/>
  <c r="T433" i="1"/>
  <c r="O434" i="1" l="1"/>
  <c r="L434" i="1" s="1"/>
  <c r="M435" i="1" l="1"/>
  <c r="O435" i="1" s="1"/>
  <c r="L435" i="1" s="1"/>
  <c r="T434" i="1"/>
  <c r="N435" i="1"/>
  <c r="M436" i="1" l="1"/>
  <c r="O436" i="1" s="1"/>
  <c r="L436" i="1" s="1"/>
  <c r="N436" i="1"/>
  <c r="T435" i="1"/>
  <c r="N437" i="1" l="1"/>
  <c r="M437" i="1"/>
  <c r="O437" i="1" s="1"/>
  <c r="L437" i="1" s="1"/>
  <c r="T436" i="1"/>
  <c r="N438" i="1" l="1"/>
  <c r="M438" i="1"/>
  <c r="T437" i="1"/>
  <c r="O438" i="1" l="1"/>
  <c r="L438" i="1" s="1"/>
  <c r="M439" i="1" l="1"/>
  <c r="N439" i="1"/>
  <c r="T438" i="1"/>
  <c r="O439" i="1" l="1"/>
  <c r="L439" i="1" s="1"/>
  <c r="T439" i="1" l="1"/>
  <c r="M440" i="1"/>
  <c r="N440" i="1"/>
  <c r="O440" i="1" l="1"/>
  <c r="L440" i="1" s="1"/>
  <c r="T440" i="1" l="1"/>
  <c r="N441" i="1"/>
  <c r="M441" i="1"/>
  <c r="O441" i="1" s="1"/>
  <c r="L441" i="1" s="1"/>
  <c r="M442" i="1" l="1"/>
  <c r="N442" i="1"/>
  <c r="T441" i="1"/>
  <c r="O442" i="1" l="1"/>
  <c r="L442" i="1" s="1"/>
  <c r="T442" i="1" l="1"/>
  <c r="M443" i="1"/>
  <c r="O443" i="1" s="1"/>
  <c r="L443" i="1" s="1"/>
  <c r="N443" i="1"/>
  <c r="N444" i="1" l="1"/>
  <c r="M444" i="1"/>
  <c r="O444" i="1" s="1"/>
  <c r="L444" i="1" s="1"/>
  <c r="T443" i="1"/>
  <c r="N445" i="1" l="1"/>
  <c r="M445" i="1"/>
  <c r="O445" i="1" s="1"/>
  <c r="L445" i="1" s="1"/>
  <c r="T444" i="1"/>
  <c r="M446" i="1" l="1"/>
  <c r="O446" i="1" s="1"/>
  <c r="L446" i="1" s="1"/>
  <c r="N446" i="1"/>
  <c r="T445" i="1"/>
  <c r="M447" i="1" l="1"/>
  <c r="T446" i="1"/>
  <c r="N447" i="1"/>
  <c r="O447" i="1" l="1"/>
  <c r="L447" i="1" s="1"/>
  <c r="M448" i="1" l="1"/>
  <c r="N448" i="1"/>
  <c r="T447" i="1"/>
  <c r="O448" i="1" l="1"/>
  <c r="L448" i="1" s="1"/>
  <c r="T448" i="1" l="1"/>
  <c r="N449" i="1"/>
  <c r="M449" i="1"/>
  <c r="O449" i="1" l="1"/>
  <c r="L449" i="1" s="1"/>
  <c r="M450" i="1" l="1"/>
  <c r="O450" i="1" s="1"/>
  <c r="L450" i="1" s="1"/>
  <c r="N450" i="1"/>
  <c r="T449" i="1"/>
  <c r="T450" i="1" l="1"/>
  <c r="M451" i="1"/>
  <c r="O451" i="1" s="1"/>
  <c r="L451" i="1" s="1"/>
  <c r="N451" i="1"/>
  <c r="M452" i="1" l="1"/>
  <c r="O452" i="1" s="1"/>
  <c r="L452" i="1" s="1"/>
  <c r="T451" i="1"/>
  <c r="N452" i="1"/>
  <c r="N453" i="1" l="1"/>
  <c r="T452" i="1"/>
  <c r="M453" i="1"/>
  <c r="O453" i="1" s="1"/>
  <c r="L453" i="1" s="1"/>
  <c r="M454" i="1" l="1"/>
  <c r="T453" i="1"/>
  <c r="N454" i="1"/>
  <c r="O454" i="1" l="1"/>
  <c r="L454" i="1" s="1"/>
  <c r="T454" i="1" l="1"/>
  <c r="N455" i="1"/>
  <c r="M455" i="1"/>
  <c r="O455" i="1" s="1"/>
  <c r="L455" i="1" s="1"/>
  <c r="N456" i="1" l="1"/>
  <c r="M456" i="1"/>
  <c r="O456" i="1" s="1"/>
  <c r="L456" i="1" s="1"/>
  <c r="T455" i="1"/>
  <c r="N457" i="1" l="1"/>
  <c r="M457" i="1"/>
  <c r="O457" i="1" s="1"/>
  <c r="L457" i="1" s="1"/>
  <c r="T456" i="1"/>
  <c r="N458" i="1" l="1"/>
  <c r="T457" i="1"/>
  <c r="M458" i="1"/>
  <c r="O458" i="1" s="1"/>
  <c r="L458" i="1" s="1"/>
  <c r="M459" i="1" l="1"/>
  <c r="O459" i="1" s="1"/>
  <c r="L459" i="1" s="1"/>
  <c r="N459" i="1"/>
  <c r="T458" i="1"/>
  <c r="M460" i="1" l="1"/>
  <c r="O460" i="1" s="1"/>
  <c r="L460" i="1" s="1"/>
  <c r="N460" i="1"/>
  <c r="T459" i="1"/>
  <c r="M461" i="1" l="1"/>
  <c r="O461" i="1" s="1"/>
  <c r="L461" i="1" s="1"/>
  <c r="T460" i="1"/>
  <c r="N461" i="1"/>
  <c r="N462" i="1" l="1"/>
  <c r="M462" i="1"/>
  <c r="O462" i="1" s="1"/>
  <c r="L462" i="1" s="1"/>
  <c r="T461" i="1"/>
  <c r="T462" i="1" l="1"/>
  <c r="M463" i="1"/>
  <c r="O463" i="1" s="1"/>
  <c r="L463" i="1" s="1"/>
  <c r="N463" i="1"/>
  <c r="N464" i="1" l="1"/>
  <c r="T463" i="1"/>
  <c r="M464" i="1"/>
  <c r="O464" i="1" s="1"/>
  <c r="L464" i="1" s="1"/>
  <c r="T464" i="1" l="1"/>
  <c r="N465" i="1"/>
  <c r="M465" i="1"/>
  <c r="O465" i="1" s="1"/>
  <c r="L465" i="1" s="1"/>
  <c r="T465" i="1" l="1"/>
  <c r="N466" i="1"/>
  <c r="M466" i="1"/>
  <c r="O466" i="1" l="1"/>
  <c r="L466" i="1" s="1"/>
  <c r="T466" i="1" l="1"/>
  <c r="N467" i="1"/>
  <c r="M467" i="1"/>
  <c r="O467" i="1" s="1"/>
  <c r="L467" i="1" s="1"/>
  <c r="T467" i="1" l="1"/>
  <c r="M468" i="1"/>
  <c r="N468" i="1"/>
  <c r="O468" i="1" l="1"/>
  <c r="L468" i="1" s="1"/>
  <c r="N469" i="1" l="1"/>
  <c r="T468" i="1"/>
  <c r="M469" i="1"/>
  <c r="O469" i="1" s="1"/>
  <c r="L469" i="1" s="1"/>
  <c r="T469" i="1" l="1"/>
  <c r="N470" i="1"/>
  <c r="M470" i="1"/>
  <c r="O470" i="1" s="1"/>
  <c r="L470" i="1" s="1"/>
  <c r="T470" i="1" l="1"/>
  <c r="N471" i="1"/>
  <c r="M471" i="1"/>
  <c r="O471" i="1" s="1"/>
  <c r="L471" i="1" s="1"/>
  <c r="T471" i="1" l="1"/>
  <c r="N472" i="1"/>
  <c r="M472" i="1"/>
  <c r="O472" i="1" s="1"/>
  <c r="L472" i="1" s="1"/>
  <c r="M473" i="1" l="1"/>
  <c r="N473" i="1"/>
  <c r="T472" i="1"/>
  <c r="O473" i="1" l="1"/>
  <c r="L473" i="1" s="1"/>
  <c r="M474" i="1" l="1"/>
  <c r="O474" i="1" s="1"/>
  <c r="L474" i="1" s="1"/>
  <c r="N474" i="1"/>
  <c r="T473" i="1"/>
  <c r="M475" i="1" l="1"/>
  <c r="N475" i="1"/>
  <c r="T474" i="1"/>
  <c r="O475" i="1" l="1"/>
  <c r="L475" i="1" s="1"/>
  <c r="M476" i="1" l="1"/>
  <c r="O476" i="1" s="1"/>
  <c r="L476" i="1" s="1"/>
  <c r="T475" i="1"/>
  <c r="N476" i="1"/>
  <c r="N477" i="1" l="1"/>
  <c r="M477" i="1"/>
  <c r="O477" i="1" s="1"/>
  <c r="L477" i="1" s="1"/>
  <c r="T476" i="1"/>
  <c r="M478" i="1" l="1"/>
  <c r="O478" i="1" s="1"/>
  <c r="L478" i="1" s="1"/>
  <c r="N478" i="1"/>
  <c r="T477" i="1"/>
  <c r="M479" i="1" l="1"/>
  <c r="O479" i="1" s="1"/>
  <c r="L479" i="1" s="1"/>
  <c r="T478" i="1"/>
  <c r="N479" i="1"/>
  <c r="N480" i="1" l="1"/>
  <c r="T479" i="1"/>
  <c r="M480" i="1"/>
  <c r="O480" i="1" s="1"/>
  <c r="L480" i="1" s="1"/>
  <c r="N481" i="1" l="1"/>
  <c r="T480" i="1"/>
  <c r="M481" i="1"/>
  <c r="O481" i="1" s="1"/>
  <c r="L481" i="1" s="1"/>
  <c r="M482" i="1" l="1"/>
  <c r="O482" i="1" s="1"/>
  <c r="L482" i="1" s="1"/>
  <c r="N482" i="1"/>
  <c r="T481" i="1"/>
  <c r="N483" i="1" l="1"/>
  <c r="M483" i="1"/>
  <c r="O483" i="1" s="1"/>
  <c r="L483" i="1" s="1"/>
  <c r="T482" i="1"/>
  <c r="M484" i="1" l="1"/>
  <c r="N484" i="1"/>
  <c r="T483" i="1"/>
  <c r="O484" i="1" l="1"/>
  <c r="L484" i="1" s="1"/>
  <c r="M485" i="1" l="1"/>
  <c r="T484" i="1"/>
  <c r="N485" i="1"/>
  <c r="O485" i="1" l="1"/>
  <c r="L485" i="1" s="1"/>
  <c r="N486" i="1" l="1"/>
  <c r="T485" i="1"/>
  <c r="M486" i="1"/>
  <c r="O486" i="1" s="1"/>
  <c r="L486" i="1" s="1"/>
  <c r="N487" i="1" l="1"/>
  <c r="T486" i="1"/>
  <c r="M487" i="1"/>
  <c r="O487" i="1" s="1"/>
  <c r="L487" i="1" s="1"/>
  <c r="M488" i="1" l="1"/>
  <c r="O488" i="1" s="1"/>
  <c r="L488" i="1" s="1"/>
  <c r="T487" i="1"/>
  <c r="N488" i="1"/>
  <c r="T488" i="1" l="1"/>
  <c r="M489" i="1"/>
  <c r="O489" i="1" s="1"/>
  <c r="L489" i="1" s="1"/>
  <c r="N489" i="1"/>
  <c r="T489" i="1" l="1"/>
  <c r="N490" i="1"/>
  <c r="M490" i="1"/>
  <c r="O490" i="1" s="1"/>
  <c r="L490" i="1" s="1"/>
  <c r="N491" i="1" l="1"/>
  <c r="T490" i="1"/>
  <c r="M491" i="1"/>
  <c r="O491" i="1" s="1"/>
  <c r="L491" i="1" s="1"/>
  <c r="N492" i="1" l="1"/>
  <c r="T491" i="1"/>
  <c r="M492" i="1"/>
  <c r="O492" i="1" s="1"/>
  <c r="L492" i="1" s="1"/>
  <c r="T492" i="1" l="1"/>
  <c r="N493" i="1"/>
  <c r="M493" i="1"/>
  <c r="O493" i="1" s="1"/>
  <c r="L493" i="1" s="1"/>
  <c r="M494" i="1" l="1"/>
  <c r="N494" i="1"/>
  <c r="T493" i="1"/>
  <c r="O494" i="1" l="1"/>
  <c r="L494" i="1" s="1"/>
  <c r="T494" i="1" l="1"/>
  <c r="N495" i="1"/>
  <c r="M495" i="1"/>
  <c r="O495" i="1" s="1"/>
  <c r="L495" i="1" s="1"/>
  <c r="N496" i="1" l="1"/>
  <c r="T495" i="1"/>
  <c r="M496" i="1"/>
  <c r="O496" i="1" s="1"/>
  <c r="L496" i="1" s="1"/>
  <c r="M497" i="1" l="1"/>
  <c r="O497" i="1" s="1"/>
  <c r="L497" i="1" s="1"/>
  <c r="T496" i="1"/>
  <c r="N497" i="1"/>
  <c r="M498" i="1" l="1"/>
  <c r="O498" i="1" s="1"/>
  <c r="L498" i="1" s="1"/>
  <c r="N498" i="1"/>
  <c r="T497" i="1"/>
  <c r="M499" i="1" l="1"/>
  <c r="O499" i="1" s="1"/>
  <c r="L499" i="1" s="1"/>
  <c r="T498" i="1"/>
  <c r="N499" i="1"/>
  <c r="T499" i="1" l="1"/>
  <c r="N500" i="1"/>
  <c r="M500" i="1"/>
  <c r="O500" i="1" s="1"/>
  <c r="L500" i="1" s="1"/>
  <c r="N501" i="1" l="1"/>
  <c r="T500" i="1"/>
  <c r="M501" i="1"/>
  <c r="O501" i="1" s="1"/>
  <c r="L501" i="1" s="1"/>
  <c r="M502" i="1" l="1"/>
  <c r="N502" i="1"/>
  <c r="T501" i="1"/>
  <c r="O502" i="1" l="1"/>
  <c r="L502" i="1" s="1"/>
  <c r="M503" i="1" l="1"/>
  <c r="N503" i="1"/>
  <c r="T502" i="1"/>
  <c r="O503" i="1" l="1"/>
  <c r="L503" i="1" s="1"/>
  <c r="M504" i="1" l="1"/>
  <c r="N504" i="1"/>
  <c r="T503" i="1"/>
  <c r="O504" i="1" l="1"/>
  <c r="L504" i="1" s="1"/>
  <c r="T504" i="1" l="1"/>
  <c r="N505" i="1"/>
  <c r="M505" i="1"/>
  <c r="O505" i="1" s="1"/>
  <c r="L505" i="1" s="1"/>
  <c r="M506" i="1" l="1"/>
  <c r="O506" i="1" s="1"/>
  <c r="L506" i="1" s="1"/>
  <c r="T505" i="1"/>
  <c r="N506" i="1"/>
  <c r="M507" i="1" l="1"/>
  <c r="O507" i="1" s="1"/>
  <c r="L507" i="1" s="1"/>
  <c r="N507" i="1"/>
  <c r="T506" i="1"/>
  <c r="M508" i="1" l="1"/>
  <c r="O508" i="1" s="1"/>
  <c r="L508" i="1" s="1"/>
  <c r="T507" i="1"/>
  <c r="N508" i="1"/>
  <c r="M509" i="1" l="1"/>
  <c r="T508" i="1"/>
  <c r="N509" i="1"/>
  <c r="O509" i="1" l="1"/>
  <c r="L509" i="1" s="1"/>
  <c r="N510" i="1" l="1"/>
  <c r="M510" i="1"/>
  <c r="O510" i="1" s="1"/>
  <c r="L510" i="1" s="1"/>
  <c r="T509" i="1"/>
  <c r="M511" i="1" l="1"/>
  <c r="O511" i="1" s="1"/>
  <c r="L511" i="1" s="1"/>
  <c r="T510" i="1"/>
  <c r="N511" i="1"/>
  <c r="T511" i="1" l="1"/>
  <c r="M512" i="1"/>
  <c r="O512" i="1" s="1"/>
  <c r="L512" i="1" s="1"/>
  <c r="T512" i="1" s="1"/>
  <c r="N512" i="1"/>
</calcChain>
</file>

<file path=xl/sharedStrings.xml><?xml version="1.0" encoding="utf-8"?>
<sst xmlns="http://schemas.openxmlformats.org/spreadsheetml/2006/main" count="26" uniqueCount="22">
  <si>
    <t>sigma</t>
  </si>
  <si>
    <t>a</t>
  </si>
  <si>
    <t>dt</t>
  </si>
  <si>
    <t>t</t>
  </si>
  <si>
    <t>sigma*dZ</t>
  </si>
  <si>
    <t>lambda</t>
  </si>
  <si>
    <t>lambda*(a-X)*dt</t>
  </si>
  <si>
    <t>lambda*(a-X)* dt + sigma*dZ</t>
  </si>
  <si>
    <t>ORNSTEIN UHLENBECK PROCESS</t>
  </si>
  <si>
    <t>mu*dt</t>
  </si>
  <si>
    <t>mu</t>
  </si>
  <si>
    <t>(same) sigma*dZ</t>
  </si>
  <si>
    <t>mu*dt+sigma*dZ</t>
  </si>
  <si>
    <t>X_ou</t>
  </si>
  <si>
    <t>X_ab</t>
  </si>
  <si>
    <t>ARITHMETIC BROWNIAN MOTION</t>
  </si>
  <si>
    <t>Xstart</t>
  </si>
  <si>
    <t>mu*X*dt</t>
  </si>
  <si>
    <t>sigma*X*dZ</t>
  </si>
  <si>
    <t>mu*X*dt+sigma*X*dZ</t>
  </si>
  <si>
    <t>X_gb</t>
  </si>
  <si>
    <t>GEOMETRIC (LOGNORMAL) BROWNIAN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</si>
</sst>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2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X_ou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Sheet1!$A$11:$A$512</c:f>
              <c:numCache>
                <c:formatCode>0.00</c:formatCode>
                <c:ptCount val="502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</c:numCache>
            </c:numRef>
          </c:xVal>
          <c:yVal>
            <c:numRef>
              <c:f>Sheet1!$B$11:$B$512</c:f>
              <c:numCache>
                <c:formatCode>0.0000</c:formatCode>
                <c:ptCount val="502"/>
                <c:pt idx="0">
                  <c:v>5</c:v>
                </c:pt>
                <c:pt idx="1">
                  <c:v>4.4953550510561291</c:v>
                </c:pt>
                <c:pt idx="2">
                  <c:v>4.0440938087249458</c:v>
                </c:pt>
                <c:pt idx="3">
                  <c:v>3.6424023408729864</c:v>
                </c:pt>
                <c:pt idx="4">
                  <c:v>3.2649372246430386</c:v>
                </c:pt>
                <c:pt idx="5">
                  <c:v>2.9232637147850467</c:v>
                </c:pt>
                <c:pt idx="6">
                  <c:v>2.6514980149573462</c:v>
                </c:pt>
                <c:pt idx="7">
                  <c:v>2.3862354923448268</c:v>
                </c:pt>
                <c:pt idx="8">
                  <c:v>2.1589217935351392</c:v>
                </c:pt>
                <c:pt idx="9">
                  <c:v>1.9289663291767742</c:v>
                </c:pt>
                <c:pt idx="10">
                  <c:v>1.7367162813395767</c:v>
                </c:pt>
                <c:pt idx="11">
                  <c:v>1.5597549269772895</c:v>
                </c:pt>
                <c:pt idx="12">
                  <c:v>1.4175756946474507</c:v>
                </c:pt>
                <c:pt idx="13">
                  <c:v>1.2727386748727767</c:v>
                </c:pt>
                <c:pt idx="14">
                  <c:v>1.1348730694083282</c:v>
                </c:pt>
                <c:pt idx="15">
                  <c:v>1.0226315579006029</c:v>
                </c:pt>
                <c:pt idx="16">
                  <c:v>0.90777008386879832</c:v>
                </c:pt>
                <c:pt idx="17">
                  <c:v>0.81022401805586908</c:v>
                </c:pt>
                <c:pt idx="18">
                  <c:v>0.73493828764567959</c:v>
                </c:pt>
                <c:pt idx="19">
                  <c:v>0.64823195749509643</c:v>
                </c:pt>
                <c:pt idx="20">
                  <c:v>0.57421321209484388</c:v>
                </c:pt>
                <c:pt idx="21">
                  <c:v>0.50360306801826993</c:v>
                </c:pt>
                <c:pt idx="22">
                  <c:v>0.4615170861273048</c:v>
                </c:pt>
                <c:pt idx="23">
                  <c:v>0.41702313762175214</c:v>
                </c:pt>
                <c:pt idx="24">
                  <c:v>0.36976855420452598</c:v>
                </c:pt>
                <c:pt idx="25">
                  <c:v>0.33657239989880605</c:v>
                </c:pt>
                <c:pt idx="26">
                  <c:v>0.31370048302463643</c:v>
                </c:pt>
                <c:pt idx="27">
                  <c:v>0.27776177678906799</c:v>
                </c:pt>
                <c:pt idx="28">
                  <c:v>0.24891279859086515</c:v>
                </c:pt>
                <c:pt idx="29">
                  <c:v>0.24537656548403206</c:v>
                </c:pt>
                <c:pt idx="30">
                  <c:v>0.23772114939557526</c:v>
                </c:pt>
                <c:pt idx="31">
                  <c:v>0.21310290498398224</c:v>
                </c:pt>
                <c:pt idx="32">
                  <c:v>0.20787511597698144</c:v>
                </c:pt>
                <c:pt idx="33">
                  <c:v>0.19158828613719139</c:v>
                </c:pt>
                <c:pt idx="34">
                  <c:v>0.18075177606987725</c:v>
                </c:pt>
                <c:pt idx="35">
                  <c:v>0.14362057589296723</c:v>
                </c:pt>
                <c:pt idx="36">
                  <c:v>0.14028616763702909</c:v>
                </c:pt>
                <c:pt idx="37">
                  <c:v>0.14024257622247943</c:v>
                </c:pt>
                <c:pt idx="38">
                  <c:v>0.14125497120667507</c:v>
                </c:pt>
                <c:pt idx="39">
                  <c:v>0.12377892824867798</c:v>
                </c:pt>
                <c:pt idx="40">
                  <c:v>0.10982315711796889</c:v>
                </c:pt>
                <c:pt idx="41">
                  <c:v>8.8858719025170757E-2</c:v>
                </c:pt>
                <c:pt idx="42">
                  <c:v>9.1857307379544381E-2</c:v>
                </c:pt>
                <c:pt idx="43">
                  <c:v>9.8350834337149834E-2</c:v>
                </c:pt>
                <c:pt idx="44">
                  <c:v>7.2767006692539021E-2</c:v>
                </c:pt>
                <c:pt idx="45">
                  <c:v>5.586328376618576E-2</c:v>
                </c:pt>
                <c:pt idx="46">
                  <c:v>5.1971202908677606E-2</c:v>
                </c:pt>
                <c:pt idx="47">
                  <c:v>6.2269751867542127E-2</c:v>
                </c:pt>
                <c:pt idx="48">
                  <c:v>4.2792658326993568E-2</c:v>
                </c:pt>
                <c:pt idx="49">
                  <c:v>4.4685361775066948E-2</c:v>
                </c:pt>
                <c:pt idx="50">
                  <c:v>3.3409481500192628E-2</c:v>
                </c:pt>
                <c:pt idx="51">
                  <c:v>2.4755854662974558E-2</c:v>
                </c:pt>
                <c:pt idx="52">
                  <c:v>2.8920476775984347E-2</c:v>
                </c:pt>
                <c:pt idx="53">
                  <c:v>1.9871750562152693E-2</c:v>
                </c:pt>
                <c:pt idx="54">
                  <c:v>1.0354992910020681E-2</c:v>
                </c:pt>
                <c:pt idx="55">
                  <c:v>1.0798082218450951E-2</c:v>
                </c:pt>
                <c:pt idx="56">
                  <c:v>1.6916001341584455E-2</c:v>
                </c:pt>
                <c:pt idx="57">
                  <c:v>2.1738421633784189E-2</c:v>
                </c:pt>
                <c:pt idx="58">
                  <c:v>1.1606710100151576E-2</c:v>
                </c:pt>
                <c:pt idx="59">
                  <c:v>1.0976611532190416E-2</c:v>
                </c:pt>
                <c:pt idx="60">
                  <c:v>1.3968963577770201E-2</c:v>
                </c:pt>
                <c:pt idx="61">
                  <c:v>-8.364847441754749E-4</c:v>
                </c:pt>
                <c:pt idx="62">
                  <c:v>1.2082312212832876E-2</c:v>
                </c:pt>
                <c:pt idx="63">
                  <c:v>2.3312913672826428E-3</c:v>
                </c:pt>
                <c:pt idx="64">
                  <c:v>6.2310337732166075E-3</c:v>
                </c:pt>
                <c:pt idx="65">
                  <c:v>-3.7756987429268165E-3</c:v>
                </c:pt>
                <c:pt idx="66">
                  <c:v>-4.7088031739064926E-4</c:v>
                </c:pt>
                <c:pt idx="67">
                  <c:v>-1.6906927516088559E-2</c:v>
                </c:pt>
                <c:pt idx="68">
                  <c:v>-6.4886898135436237E-3</c:v>
                </c:pt>
                <c:pt idx="69">
                  <c:v>-1.9653389737119319E-3</c:v>
                </c:pt>
                <c:pt idx="70">
                  <c:v>2.799030172619908E-3</c:v>
                </c:pt>
                <c:pt idx="71">
                  <c:v>-1.0099368839434127E-2</c:v>
                </c:pt>
                <c:pt idx="72">
                  <c:v>-1.086727311679523E-2</c:v>
                </c:pt>
                <c:pt idx="73">
                  <c:v>-3.4098033308224487E-3</c:v>
                </c:pt>
                <c:pt idx="74">
                  <c:v>-2.7960416558143026E-3</c:v>
                </c:pt>
                <c:pt idx="75">
                  <c:v>-1.9168269485670124E-3</c:v>
                </c:pt>
                <c:pt idx="76">
                  <c:v>3.8616764157112802E-3</c:v>
                </c:pt>
                <c:pt idx="77">
                  <c:v>1.1501829805939372E-5</c:v>
                </c:pt>
                <c:pt idx="78">
                  <c:v>-7.165361311810484E-3</c:v>
                </c:pt>
                <c:pt idx="79">
                  <c:v>6.2068577771816971E-3</c:v>
                </c:pt>
                <c:pt idx="80">
                  <c:v>3.0215323370676467E-3</c:v>
                </c:pt>
                <c:pt idx="81">
                  <c:v>-2.4527120419780592E-2</c:v>
                </c:pt>
                <c:pt idx="82">
                  <c:v>-1.7696273216020127E-2</c:v>
                </c:pt>
                <c:pt idx="83">
                  <c:v>1.0397280669201155E-2</c:v>
                </c:pt>
                <c:pt idx="84">
                  <c:v>1.7045434607022028E-2</c:v>
                </c:pt>
                <c:pt idx="85">
                  <c:v>1.3179805424426486E-2</c:v>
                </c:pt>
                <c:pt idx="86">
                  <c:v>2.1264328618697238E-2</c:v>
                </c:pt>
                <c:pt idx="87">
                  <c:v>3.6871801921924005E-2</c:v>
                </c:pt>
                <c:pt idx="88">
                  <c:v>1.630625454729194E-2</c:v>
                </c:pt>
                <c:pt idx="89">
                  <c:v>9.8600472646249125E-3</c:v>
                </c:pt>
                <c:pt idx="90">
                  <c:v>3.3313921981628861E-3</c:v>
                </c:pt>
                <c:pt idx="91">
                  <c:v>1.6102054320365412E-2</c:v>
                </c:pt>
                <c:pt idx="92">
                  <c:v>-9.3635629171989337E-3</c:v>
                </c:pt>
                <c:pt idx="93">
                  <c:v>-1.133344018281735E-2</c:v>
                </c:pt>
                <c:pt idx="94">
                  <c:v>-1.9026836377919437E-2</c:v>
                </c:pt>
                <c:pt idx="95">
                  <c:v>-1.7404455980918609E-2</c:v>
                </c:pt>
                <c:pt idx="96">
                  <c:v>-2.0176582558598159E-2</c:v>
                </c:pt>
                <c:pt idx="97">
                  <c:v>-2.0134393219182964E-2</c:v>
                </c:pt>
                <c:pt idx="98">
                  <c:v>-3.6470335747962601E-3</c:v>
                </c:pt>
                <c:pt idx="99">
                  <c:v>-2.5787871875351167E-2</c:v>
                </c:pt>
                <c:pt idx="100">
                  <c:v>-4.777824666323556E-2</c:v>
                </c:pt>
                <c:pt idx="101">
                  <c:v>-5.1898303160184817E-2</c:v>
                </c:pt>
                <c:pt idx="102">
                  <c:v>-5.0650785545581285E-2</c:v>
                </c:pt>
                <c:pt idx="103">
                  <c:v>-4.2388440550146282E-2</c:v>
                </c:pt>
                <c:pt idx="104">
                  <c:v>-3.7997162769897501E-2</c:v>
                </c:pt>
                <c:pt idx="105">
                  <c:v>-2.6675010896519996E-2</c:v>
                </c:pt>
                <c:pt idx="106">
                  <c:v>-1.0584879156139589E-2</c:v>
                </c:pt>
                <c:pt idx="107">
                  <c:v>-1.0445075117087931E-2</c:v>
                </c:pt>
                <c:pt idx="108">
                  <c:v>3.213921320389633E-3</c:v>
                </c:pt>
                <c:pt idx="109">
                  <c:v>3.8844922425653886E-3</c:v>
                </c:pt>
                <c:pt idx="110">
                  <c:v>3.0533830226824564E-4</c:v>
                </c:pt>
                <c:pt idx="111">
                  <c:v>-4.9759596706113731E-3</c:v>
                </c:pt>
                <c:pt idx="112">
                  <c:v>2.3164639422951862E-2</c:v>
                </c:pt>
                <c:pt idx="113">
                  <c:v>2.5913942005047784E-2</c:v>
                </c:pt>
                <c:pt idx="114">
                  <c:v>3.8743584092951505E-2</c:v>
                </c:pt>
                <c:pt idx="115">
                  <c:v>3.255159505064114E-2</c:v>
                </c:pt>
                <c:pt idx="116">
                  <c:v>3.9046682822489027E-2</c:v>
                </c:pt>
                <c:pt idx="117">
                  <c:v>4.4196585223037398E-2</c:v>
                </c:pt>
                <c:pt idx="118">
                  <c:v>1.9465268409073082E-2</c:v>
                </c:pt>
                <c:pt idx="119">
                  <c:v>1.7090808082077299E-2</c:v>
                </c:pt>
                <c:pt idx="120">
                  <c:v>-3.6783749951447321E-3</c:v>
                </c:pt>
                <c:pt idx="121">
                  <c:v>-4.7681283228294541E-3</c:v>
                </c:pt>
                <c:pt idx="122">
                  <c:v>6.5434746961895232E-3</c:v>
                </c:pt>
                <c:pt idx="123">
                  <c:v>1.2576982865270262E-2</c:v>
                </c:pt>
                <c:pt idx="124">
                  <c:v>1.4217824755501235E-3</c:v>
                </c:pt>
                <c:pt idx="125">
                  <c:v>1.6121753906154005E-3</c:v>
                </c:pt>
                <c:pt idx="126">
                  <c:v>2.7692094391554615E-4</c:v>
                </c:pt>
                <c:pt idx="127">
                  <c:v>-2.4036118046940929E-2</c:v>
                </c:pt>
                <c:pt idx="128">
                  <c:v>-2.0414271518129232E-2</c:v>
                </c:pt>
                <c:pt idx="129">
                  <c:v>-1.9578070228152816E-2</c:v>
                </c:pt>
                <c:pt idx="130">
                  <c:v>-1.2598206123829302E-2</c:v>
                </c:pt>
                <c:pt idx="131">
                  <c:v>-2.195082013920456E-4</c:v>
                </c:pt>
                <c:pt idx="132">
                  <c:v>-4.1282858572627415E-3</c:v>
                </c:pt>
                <c:pt idx="133">
                  <c:v>-1.8267721557575028E-2</c:v>
                </c:pt>
                <c:pt idx="134">
                  <c:v>-1.8042748535798393E-2</c:v>
                </c:pt>
                <c:pt idx="135">
                  <c:v>-3.443391619944948E-2</c:v>
                </c:pt>
                <c:pt idx="136">
                  <c:v>-3.9351487487091705E-2</c:v>
                </c:pt>
                <c:pt idx="137">
                  <c:v>-3.4736929925914345E-2</c:v>
                </c:pt>
                <c:pt idx="138">
                  <c:v>-5.0493283625034108E-2</c:v>
                </c:pt>
                <c:pt idx="139">
                  <c:v>-3.2673427155748849E-2</c:v>
                </c:pt>
                <c:pt idx="140">
                  <c:v>-2.4807008822880137E-2</c:v>
                </c:pt>
                <c:pt idx="141">
                  <c:v>-3.2230187283181402E-2</c:v>
                </c:pt>
                <c:pt idx="142">
                  <c:v>-4.8298160747628743E-2</c:v>
                </c:pt>
                <c:pt idx="143">
                  <c:v>-3.7949084404847115E-2</c:v>
                </c:pt>
                <c:pt idx="144">
                  <c:v>-2.5648752324940648E-2</c:v>
                </c:pt>
                <c:pt idx="145">
                  <c:v>-2.0938141028955342E-2</c:v>
                </c:pt>
                <c:pt idx="146">
                  <c:v>-2.6944500492353574E-2</c:v>
                </c:pt>
                <c:pt idx="147">
                  <c:v>-2.5907643383963414E-2</c:v>
                </c:pt>
                <c:pt idx="148">
                  <c:v>-1.8896049540469348E-2</c:v>
                </c:pt>
                <c:pt idx="149">
                  <c:v>-2.5174355793829949E-2</c:v>
                </c:pt>
                <c:pt idx="150">
                  <c:v>-2.1865629140890835E-2</c:v>
                </c:pt>
                <c:pt idx="151">
                  <c:v>-2.7297242893063341E-2</c:v>
                </c:pt>
                <c:pt idx="152">
                  <c:v>-1.6434351185241617E-2</c:v>
                </c:pt>
                <c:pt idx="153">
                  <c:v>-1.3309929593851629E-2</c:v>
                </c:pt>
                <c:pt idx="154">
                  <c:v>-1.9111749615470932E-2</c:v>
                </c:pt>
                <c:pt idx="155">
                  <c:v>-2.8010177903928315E-2</c:v>
                </c:pt>
                <c:pt idx="156">
                  <c:v>-2.3974779774431021E-2</c:v>
                </c:pt>
                <c:pt idx="157">
                  <c:v>-1.4761109294229469E-2</c:v>
                </c:pt>
                <c:pt idx="158">
                  <c:v>-2.2397151685391536E-2</c:v>
                </c:pt>
                <c:pt idx="159">
                  <c:v>-3.576137066250383E-2</c:v>
                </c:pt>
                <c:pt idx="160">
                  <c:v>-3.443768478526274E-2</c:v>
                </c:pt>
                <c:pt idx="161">
                  <c:v>-3.4949511066889628E-2</c:v>
                </c:pt>
                <c:pt idx="162">
                  <c:v>-2.2812135880136267E-2</c:v>
                </c:pt>
                <c:pt idx="163">
                  <c:v>-1.7810707948308961E-2</c:v>
                </c:pt>
                <c:pt idx="164">
                  <c:v>-1.5452124260319914E-2</c:v>
                </c:pt>
                <c:pt idx="165">
                  <c:v>-2.3922437225478547E-2</c:v>
                </c:pt>
                <c:pt idx="166">
                  <c:v>-2.6602774783646446E-2</c:v>
                </c:pt>
                <c:pt idx="167">
                  <c:v>-3.8595571986387862E-2</c:v>
                </c:pt>
                <c:pt idx="168">
                  <c:v>-2.7656911046831864E-2</c:v>
                </c:pt>
                <c:pt idx="169">
                  <c:v>-2.2999591319382652E-2</c:v>
                </c:pt>
                <c:pt idx="170">
                  <c:v>-1.840963510587746E-2</c:v>
                </c:pt>
                <c:pt idx="171">
                  <c:v>-1.9491707022224077E-2</c:v>
                </c:pt>
                <c:pt idx="172">
                  <c:v>-2.919858411021398E-2</c:v>
                </c:pt>
                <c:pt idx="173">
                  <c:v>-4.0153532215507312E-2</c:v>
                </c:pt>
                <c:pt idx="174">
                  <c:v>-3.3477949653733706E-2</c:v>
                </c:pt>
                <c:pt idx="175">
                  <c:v>-3.3901770852651177E-2</c:v>
                </c:pt>
                <c:pt idx="176">
                  <c:v>-3.1927381315954372E-2</c:v>
                </c:pt>
                <c:pt idx="177">
                  <c:v>-3.0924810495683942E-2</c:v>
                </c:pt>
                <c:pt idx="178">
                  <c:v>-1.8762098375567287E-2</c:v>
                </c:pt>
                <c:pt idx="179">
                  <c:v>-1.4443886587342698E-3</c:v>
                </c:pt>
                <c:pt idx="180">
                  <c:v>-1.2112289658568211E-3</c:v>
                </c:pt>
                <c:pt idx="181">
                  <c:v>1.6654205383849394E-3</c:v>
                </c:pt>
                <c:pt idx="182">
                  <c:v>-1.2601378047255737E-2</c:v>
                </c:pt>
                <c:pt idx="183">
                  <c:v>-2.575777777618116E-2</c:v>
                </c:pt>
                <c:pt idx="184">
                  <c:v>-9.2257030364560622E-3</c:v>
                </c:pt>
                <c:pt idx="185">
                  <c:v>-1.929856011422305E-2</c:v>
                </c:pt>
                <c:pt idx="186">
                  <c:v>-3.0861116740481739E-3</c:v>
                </c:pt>
                <c:pt idx="187">
                  <c:v>-3.8789636883997244E-3</c:v>
                </c:pt>
                <c:pt idx="188">
                  <c:v>-1.4842009126317911E-2</c:v>
                </c:pt>
                <c:pt idx="189">
                  <c:v>-1.5514562303340893E-2</c:v>
                </c:pt>
                <c:pt idx="190">
                  <c:v>-1.3400366818318283E-2</c:v>
                </c:pt>
                <c:pt idx="191">
                  <c:v>1.204645222489786E-3</c:v>
                </c:pt>
                <c:pt idx="192">
                  <c:v>9.7300448057412413E-3</c:v>
                </c:pt>
                <c:pt idx="193">
                  <c:v>7.5057970306872911E-3</c:v>
                </c:pt>
                <c:pt idx="194">
                  <c:v>-5.5514808398184588E-3</c:v>
                </c:pt>
                <c:pt idx="195">
                  <c:v>-1.56372982808866E-2</c:v>
                </c:pt>
                <c:pt idx="196">
                  <c:v>-3.189013224339405E-2</c:v>
                </c:pt>
                <c:pt idx="197">
                  <c:v>-2.4197529062683784E-2</c:v>
                </c:pt>
                <c:pt idx="198">
                  <c:v>-2.8660572477022635E-2</c:v>
                </c:pt>
                <c:pt idx="199">
                  <c:v>-2.2940205817973874E-2</c:v>
                </c:pt>
                <c:pt idx="200">
                  <c:v>-1.8993850665111209E-2</c:v>
                </c:pt>
                <c:pt idx="201">
                  <c:v>-2.970558947882352E-2</c:v>
                </c:pt>
                <c:pt idx="202">
                  <c:v>-2.5385046215920005E-2</c:v>
                </c:pt>
                <c:pt idx="203">
                  <c:v>-2.2704514914814396E-2</c:v>
                </c:pt>
                <c:pt idx="204">
                  <c:v>-2.5727058172893065E-2</c:v>
                </c:pt>
                <c:pt idx="205">
                  <c:v>-2.6876748536793178E-2</c:v>
                </c:pt>
                <c:pt idx="206">
                  <c:v>-3.0791609858712599E-2</c:v>
                </c:pt>
                <c:pt idx="207">
                  <c:v>-1.4545568365186275E-2</c:v>
                </c:pt>
                <c:pt idx="208">
                  <c:v>3.6962486663737783E-3</c:v>
                </c:pt>
                <c:pt idx="209">
                  <c:v>6.3843414122319482E-3</c:v>
                </c:pt>
                <c:pt idx="210">
                  <c:v>9.0780118692912852E-3</c:v>
                </c:pt>
                <c:pt idx="211">
                  <c:v>8.0938131171195676E-3</c:v>
                </c:pt>
                <c:pt idx="212">
                  <c:v>2.7249643538579865E-2</c:v>
                </c:pt>
                <c:pt idx="213">
                  <c:v>3.6678032554918451E-2</c:v>
                </c:pt>
                <c:pt idx="214">
                  <c:v>3.7232571144018782E-2</c:v>
                </c:pt>
                <c:pt idx="215">
                  <c:v>3.2567152267732456E-2</c:v>
                </c:pt>
                <c:pt idx="216">
                  <c:v>2.7993684128636672E-2</c:v>
                </c:pt>
                <c:pt idx="217">
                  <c:v>2.8136990688661087E-2</c:v>
                </c:pt>
                <c:pt idx="218">
                  <c:v>1.0042490289819222E-2</c:v>
                </c:pt>
                <c:pt idx="219">
                  <c:v>2.1217383140017546E-2</c:v>
                </c:pt>
                <c:pt idx="220">
                  <c:v>1.3993052910622545E-2</c:v>
                </c:pt>
                <c:pt idx="221">
                  <c:v>2.6273219709533589E-2</c:v>
                </c:pt>
                <c:pt idx="222">
                  <c:v>1.2966234508107164E-2</c:v>
                </c:pt>
                <c:pt idx="223">
                  <c:v>1.7372744124994111E-2</c:v>
                </c:pt>
                <c:pt idx="224">
                  <c:v>2.9044686818832523E-2</c:v>
                </c:pt>
                <c:pt idx="225">
                  <c:v>3.2503142594606793E-2</c:v>
                </c:pt>
                <c:pt idx="226">
                  <c:v>1.7053057975556521E-2</c:v>
                </c:pt>
                <c:pt idx="227">
                  <c:v>7.0719486637265284E-3</c:v>
                </c:pt>
                <c:pt idx="228">
                  <c:v>1.4252145919584205E-2</c:v>
                </c:pt>
                <c:pt idx="229">
                  <c:v>2.6612008438400572E-2</c:v>
                </c:pt>
                <c:pt idx="230">
                  <c:v>2.5372371562754396E-2</c:v>
                </c:pt>
                <c:pt idx="231">
                  <c:v>1.3093985111211171E-2</c:v>
                </c:pt>
                <c:pt idx="232">
                  <c:v>8.1521941127040663E-3</c:v>
                </c:pt>
                <c:pt idx="233">
                  <c:v>-5.7991207247046518E-3</c:v>
                </c:pt>
                <c:pt idx="234">
                  <c:v>-3.719400661098834E-3</c:v>
                </c:pt>
                <c:pt idx="235">
                  <c:v>-1.4433510037202637E-2</c:v>
                </c:pt>
                <c:pt idx="236">
                  <c:v>-1.6517174399997885E-2</c:v>
                </c:pt>
                <c:pt idx="237">
                  <c:v>-2.412071515365382E-2</c:v>
                </c:pt>
                <c:pt idx="238">
                  <c:v>-3.0672280758954722E-2</c:v>
                </c:pt>
                <c:pt idx="239">
                  <c:v>-1.6321103320663714E-2</c:v>
                </c:pt>
                <c:pt idx="240">
                  <c:v>-9.6376744807713279E-3</c:v>
                </c:pt>
                <c:pt idx="241">
                  <c:v>-7.7920117551718258E-3</c:v>
                </c:pt>
                <c:pt idx="242">
                  <c:v>2.156231578180505E-3</c:v>
                </c:pt>
                <c:pt idx="243">
                  <c:v>-6.2190971651008096E-3</c:v>
                </c:pt>
                <c:pt idx="244">
                  <c:v>-8.3646555224921905E-3</c:v>
                </c:pt>
                <c:pt idx="245">
                  <c:v>-1.8204870101161647E-2</c:v>
                </c:pt>
                <c:pt idx="246">
                  <c:v>-3.1578371307792577E-2</c:v>
                </c:pt>
                <c:pt idx="247">
                  <c:v>-1.2981576030074465E-2</c:v>
                </c:pt>
                <c:pt idx="248">
                  <c:v>-3.2591137236266332E-2</c:v>
                </c:pt>
                <c:pt idx="249">
                  <c:v>-3.262431112986424E-2</c:v>
                </c:pt>
                <c:pt idx="250">
                  <c:v>-3.4331814624083835E-2</c:v>
                </c:pt>
                <c:pt idx="251">
                  <c:v>-1.014648286100921E-2</c:v>
                </c:pt>
                <c:pt idx="252">
                  <c:v>-3.7593004270437356E-3</c:v>
                </c:pt>
                <c:pt idx="253">
                  <c:v>-2.1544143464481538E-2</c:v>
                </c:pt>
                <c:pt idx="254">
                  <c:v>-6.6877102759767878E-3</c:v>
                </c:pt>
                <c:pt idx="255">
                  <c:v>1.2095406269805006E-2</c:v>
                </c:pt>
                <c:pt idx="256">
                  <c:v>-7.792336386853593E-3</c:v>
                </c:pt>
                <c:pt idx="257">
                  <c:v>-1.3046259608289647E-2</c:v>
                </c:pt>
                <c:pt idx="258">
                  <c:v>-1.7182653059321963E-2</c:v>
                </c:pt>
                <c:pt idx="259">
                  <c:v>-8.3329493844782124E-3</c:v>
                </c:pt>
                <c:pt idx="260">
                  <c:v>-3.5617517219257841E-3</c:v>
                </c:pt>
                <c:pt idx="261">
                  <c:v>-1.654389690917122E-2</c:v>
                </c:pt>
                <c:pt idx="262">
                  <c:v>-1.1358539805579812E-2</c:v>
                </c:pt>
                <c:pt idx="263">
                  <c:v>3.707638138048917E-3</c:v>
                </c:pt>
                <c:pt idx="264">
                  <c:v>2.5205648221767261E-2</c:v>
                </c:pt>
                <c:pt idx="265">
                  <c:v>2.6118305188583449E-2</c:v>
                </c:pt>
                <c:pt idx="266">
                  <c:v>2.1911130291825863E-2</c:v>
                </c:pt>
                <c:pt idx="267">
                  <c:v>-5.7981082394546711E-3</c:v>
                </c:pt>
                <c:pt idx="268">
                  <c:v>4.3436237107629932E-3</c:v>
                </c:pt>
                <c:pt idx="269">
                  <c:v>1.9999878222387642E-2</c:v>
                </c:pt>
                <c:pt idx="270">
                  <c:v>1.8669737258820155E-2</c:v>
                </c:pt>
                <c:pt idx="271">
                  <c:v>2.5148359399488271E-2</c:v>
                </c:pt>
                <c:pt idx="272">
                  <c:v>1.9484569726735734E-2</c:v>
                </c:pt>
                <c:pt idx="273">
                  <c:v>3.4762883082986744E-2</c:v>
                </c:pt>
                <c:pt idx="274">
                  <c:v>4.324697792742821E-2</c:v>
                </c:pt>
                <c:pt idx="275">
                  <c:v>4.1956999545358128E-2</c:v>
                </c:pt>
                <c:pt idx="276">
                  <c:v>5.5955976073910806E-2</c:v>
                </c:pt>
                <c:pt idx="277">
                  <c:v>7.5245717367013187E-2</c:v>
                </c:pt>
                <c:pt idx="278">
                  <c:v>5.1360450725788126E-2</c:v>
                </c:pt>
                <c:pt idx="279">
                  <c:v>4.3090226650620886E-2</c:v>
                </c:pt>
                <c:pt idx="280">
                  <c:v>2.508649493972882E-2</c:v>
                </c:pt>
                <c:pt idx="281">
                  <c:v>3.4205602140570078E-3</c:v>
                </c:pt>
                <c:pt idx="282">
                  <c:v>1.7470709006202137E-2</c:v>
                </c:pt>
                <c:pt idx="283">
                  <c:v>1.8557990202406775E-2</c:v>
                </c:pt>
                <c:pt idx="284">
                  <c:v>1.4547573767163891E-2</c:v>
                </c:pt>
                <c:pt idx="285">
                  <c:v>9.9800899523045869E-3</c:v>
                </c:pt>
                <c:pt idx="286">
                  <c:v>-8.601203705700073E-3</c:v>
                </c:pt>
                <c:pt idx="287">
                  <c:v>8.0878806803841609E-3</c:v>
                </c:pt>
                <c:pt idx="288">
                  <c:v>1.7167339528004345E-2</c:v>
                </c:pt>
                <c:pt idx="289">
                  <c:v>2.3012679236914659E-2</c:v>
                </c:pt>
                <c:pt idx="290">
                  <c:v>1.5501360399145701E-2</c:v>
                </c:pt>
                <c:pt idx="291">
                  <c:v>5.9828799428963807E-3</c:v>
                </c:pt>
                <c:pt idx="292">
                  <c:v>-4.2558748567267397E-3</c:v>
                </c:pt>
                <c:pt idx="293">
                  <c:v>-6.1223397440837947E-3</c:v>
                </c:pt>
                <c:pt idx="294">
                  <c:v>3.6649553479655142E-3</c:v>
                </c:pt>
                <c:pt idx="295">
                  <c:v>1.1527698627641574E-2</c:v>
                </c:pt>
                <c:pt idx="296">
                  <c:v>6.7607277994926806E-3</c:v>
                </c:pt>
                <c:pt idx="297">
                  <c:v>1.192633470459516E-2</c:v>
                </c:pt>
                <c:pt idx="298">
                  <c:v>2.6352098878408645E-2</c:v>
                </c:pt>
                <c:pt idx="299">
                  <c:v>3.5141008159862326E-2</c:v>
                </c:pt>
                <c:pt idx="300">
                  <c:v>4.1999047979319921E-2</c:v>
                </c:pt>
                <c:pt idx="301">
                  <c:v>4.6966218371828787E-2</c:v>
                </c:pt>
                <c:pt idx="302">
                  <c:v>4.6844228263100918E-2</c:v>
                </c:pt>
                <c:pt idx="303">
                  <c:v>4.3779652867810652E-2</c:v>
                </c:pt>
                <c:pt idx="304">
                  <c:v>3.2293314876347422E-2</c:v>
                </c:pt>
                <c:pt idx="305">
                  <c:v>3.1039266706457007E-2</c:v>
                </c:pt>
                <c:pt idx="306">
                  <c:v>5.6066758708884876E-2</c:v>
                </c:pt>
                <c:pt idx="307">
                  <c:v>5.1098673896465392E-2</c:v>
                </c:pt>
                <c:pt idx="308">
                  <c:v>5.5902361738690967E-2</c:v>
                </c:pt>
                <c:pt idx="309">
                  <c:v>8.5872118597049324E-2</c:v>
                </c:pt>
                <c:pt idx="310">
                  <c:v>6.9831278762099297E-2</c:v>
                </c:pt>
                <c:pt idx="311">
                  <c:v>6.8708408839116192E-2</c:v>
                </c:pt>
                <c:pt idx="312">
                  <c:v>7.7250123624762038E-2</c:v>
                </c:pt>
                <c:pt idx="313">
                  <c:v>7.4889104393939893E-2</c:v>
                </c:pt>
                <c:pt idx="314">
                  <c:v>6.6818572839809215E-2</c:v>
                </c:pt>
                <c:pt idx="315">
                  <c:v>5.8355734259820422E-2</c:v>
                </c:pt>
                <c:pt idx="316">
                  <c:v>4.2466251442122356E-2</c:v>
                </c:pt>
                <c:pt idx="317">
                  <c:v>4.1959008605252271E-2</c:v>
                </c:pt>
                <c:pt idx="318">
                  <c:v>4.360908603431049E-2</c:v>
                </c:pt>
                <c:pt idx="319">
                  <c:v>3.8098638864881448E-2</c:v>
                </c:pt>
                <c:pt idx="320">
                  <c:v>2.8493694109821457E-2</c:v>
                </c:pt>
                <c:pt idx="321">
                  <c:v>2.2379642690827505E-2</c:v>
                </c:pt>
                <c:pt idx="322">
                  <c:v>3.1774245357208235E-2</c:v>
                </c:pt>
                <c:pt idx="323">
                  <c:v>1.553052096749441E-2</c:v>
                </c:pt>
                <c:pt idx="324">
                  <c:v>3.429511806307297E-2</c:v>
                </c:pt>
                <c:pt idx="325">
                  <c:v>4.7900239730932569E-2</c:v>
                </c:pt>
                <c:pt idx="326">
                  <c:v>6.2734720985015174E-2</c:v>
                </c:pt>
                <c:pt idx="327">
                  <c:v>5.3873028305189218E-2</c:v>
                </c:pt>
                <c:pt idx="328">
                  <c:v>6.2782534420526254E-2</c:v>
                </c:pt>
                <c:pt idx="329">
                  <c:v>4.3894652414272005E-2</c:v>
                </c:pt>
                <c:pt idx="330">
                  <c:v>3.8369780900418954E-2</c:v>
                </c:pt>
                <c:pt idx="331">
                  <c:v>6.3890849287605578E-2</c:v>
                </c:pt>
                <c:pt idx="332">
                  <c:v>6.0590305594343988E-2</c:v>
                </c:pt>
                <c:pt idx="333">
                  <c:v>5.871273723098272E-2</c:v>
                </c:pt>
                <c:pt idx="334">
                  <c:v>6.1801174276606877E-2</c:v>
                </c:pt>
                <c:pt idx="335">
                  <c:v>4.5980031836032359E-2</c:v>
                </c:pt>
                <c:pt idx="336">
                  <c:v>3.6531923015663097E-2</c:v>
                </c:pt>
                <c:pt idx="337">
                  <c:v>3.6279454844401156E-2</c:v>
                </c:pt>
                <c:pt idx="338">
                  <c:v>2.7451083209311063E-2</c:v>
                </c:pt>
                <c:pt idx="339">
                  <c:v>2.5937729963807426E-2</c:v>
                </c:pt>
                <c:pt idx="340">
                  <c:v>2.6924312156450095E-2</c:v>
                </c:pt>
                <c:pt idx="341">
                  <c:v>2.124566092331432E-2</c:v>
                </c:pt>
                <c:pt idx="342">
                  <c:v>-2.4370688978234134E-4</c:v>
                </c:pt>
                <c:pt idx="343">
                  <c:v>5.1143918023125183E-4</c:v>
                </c:pt>
                <c:pt idx="344">
                  <c:v>-4.9178237173799029E-6</c:v>
                </c:pt>
                <c:pt idx="345">
                  <c:v>-5.0047756707888883E-3</c:v>
                </c:pt>
                <c:pt idx="346">
                  <c:v>4.0776929475106411E-3</c:v>
                </c:pt>
                <c:pt idx="347">
                  <c:v>1.8666142847719041E-2</c:v>
                </c:pt>
                <c:pt idx="348">
                  <c:v>5.7017781759278185E-3</c:v>
                </c:pt>
                <c:pt idx="349">
                  <c:v>1.9203196947417928E-2</c:v>
                </c:pt>
                <c:pt idx="350">
                  <c:v>2.1492460405191184E-2</c:v>
                </c:pt>
                <c:pt idx="351">
                  <c:v>1.3882342858125174E-2</c:v>
                </c:pt>
                <c:pt idx="352">
                  <c:v>3.1465525952236294E-3</c:v>
                </c:pt>
                <c:pt idx="353">
                  <c:v>-3.0474546578718991E-3</c:v>
                </c:pt>
                <c:pt idx="354">
                  <c:v>1.5029543245355477E-3</c:v>
                </c:pt>
                <c:pt idx="355">
                  <c:v>9.2555470685687646E-3</c:v>
                </c:pt>
                <c:pt idx="356">
                  <c:v>2.2855171748783869E-2</c:v>
                </c:pt>
                <c:pt idx="357">
                  <c:v>3.6950077880983437E-2</c:v>
                </c:pt>
                <c:pt idx="358">
                  <c:v>5.9697451775845074E-2</c:v>
                </c:pt>
                <c:pt idx="359">
                  <c:v>2.4138619069473753E-2</c:v>
                </c:pt>
                <c:pt idx="360">
                  <c:v>1.4982615859890351E-2</c:v>
                </c:pt>
                <c:pt idx="361">
                  <c:v>1.2433998597554057E-2</c:v>
                </c:pt>
                <c:pt idx="362">
                  <c:v>9.7560533655603483E-3</c:v>
                </c:pt>
                <c:pt idx="363">
                  <c:v>1.7908252564710896E-2</c:v>
                </c:pt>
                <c:pt idx="364">
                  <c:v>1.8801684377121562E-2</c:v>
                </c:pt>
                <c:pt idx="365">
                  <c:v>3.3804032340090398E-2</c:v>
                </c:pt>
                <c:pt idx="366">
                  <c:v>3.3160054619837169E-2</c:v>
                </c:pt>
                <c:pt idx="367">
                  <c:v>1.4831820072063771E-2</c:v>
                </c:pt>
                <c:pt idx="368">
                  <c:v>2.9263443571656184E-2</c:v>
                </c:pt>
                <c:pt idx="369">
                  <c:v>4.0546561000758471E-2</c:v>
                </c:pt>
                <c:pt idx="370">
                  <c:v>4.7366687592421255E-2</c:v>
                </c:pt>
                <c:pt idx="371">
                  <c:v>3.3695699335236098E-2</c:v>
                </c:pt>
                <c:pt idx="372">
                  <c:v>2.8887530281832743E-2</c:v>
                </c:pt>
                <c:pt idx="373">
                  <c:v>6.1913726889350103E-3</c:v>
                </c:pt>
                <c:pt idx="374">
                  <c:v>1.498367685491598E-3</c:v>
                </c:pt>
                <c:pt idx="375">
                  <c:v>-1.1612122823769914E-2</c:v>
                </c:pt>
                <c:pt idx="376">
                  <c:v>-1.0379574840506608E-2</c:v>
                </c:pt>
                <c:pt idx="377">
                  <c:v>-2.0581693503739666E-2</c:v>
                </c:pt>
                <c:pt idx="378">
                  <c:v>-2.9962125244994382E-2</c:v>
                </c:pt>
                <c:pt idx="379">
                  <c:v>-2.526099796615322E-2</c:v>
                </c:pt>
                <c:pt idx="380">
                  <c:v>-9.0451574821890715E-3</c:v>
                </c:pt>
                <c:pt idx="381">
                  <c:v>-6.3749065005347339E-3</c:v>
                </c:pt>
                <c:pt idx="382">
                  <c:v>2.2997895546457339E-4</c:v>
                </c:pt>
                <c:pt idx="383">
                  <c:v>-2.8339502922743341E-3</c:v>
                </c:pt>
                <c:pt idx="384">
                  <c:v>1.6635301930939322E-3</c:v>
                </c:pt>
                <c:pt idx="385">
                  <c:v>-7.1547840215673295E-3</c:v>
                </c:pt>
                <c:pt idx="386">
                  <c:v>-4.7030757260942994E-3</c:v>
                </c:pt>
                <c:pt idx="387">
                  <c:v>-1.0677398891221209E-2</c:v>
                </c:pt>
                <c:pt idx="388">
                  <c:v>3.1409203561567501E-3</c:v>
                </c:pt>
                <c:pt idx="389">
                  <c:v>-2.1051469225026711E-3</c:v>
                </c:pt>
                <c:pt idx="390">
                  <c:v>-3.0366003934237567E-3</c:v>
                </c:pt>
                <c:pt idx="391">
                  <c:v>-3.0528091413947987E-3</c:v>
                </c:pt>
                <c:pt idx="392">
                  <c:v>-1.1371555188351971E-2</c:v>
                </c:pt>
                <c:pt idx="393">
                  <c:v>1.9671149460419313E-4</c:v>
                </c:pt>
                <c:pt idx="394">
                  <c:v>5.3388478862495328E-3</c:v>
                </c:pt>
                <c:pt idx="395">
                  <c:v>-9.9572623708500067E-4</c:v>
                </c:pt>
                <c:pt idx="396">
                  <c:v>-1.5533915588262007E-2</c:v>
                </c:pt>
                <c:pt idx="397">
                  <c:v>-9.6563831604189569E-3</c:v>
                </c:pt>
                <c:pt idx="398">
                  <c:v>-3.8513311177809997E-2</c:v>
                </c:pt>
                <c:pt idx="399">
                  <c:v>-3.241155456842968E-2</c:v>
                </c:pt>
                <c:pt idx="400">
                  <c:v>-1.7702551038737621E-2</c:v>
                </c:pt>
                <c:pt idx="401">
                  <c:v>-2.2267068285992734E-2</c:v>
                </c:pt>
                <c:pt idx="402">
                  <c:v>-8.4558650048228295E-3</c:v>
                </c:pt>
                <c:pt idx="403">
                  <c:v>3.8224477686343346E-3</c:v>
                </c:pt>
                <c:pt idx="404">
                  <c:v>4.3232108479011877E-3</c:v>
                </c:pt>
                <c:pt idx="405">
                  <c:v>-5.505525145685022E-3</c:v>
                </c:pt>
                <c:pt idx="406">
                  <c:v>-2.0232462156609433E-2</c:v>
                </c:pt>
                <c:pt idx="407">
                  <c:v>-2.6364669728419693E-2</c:v>
                </c:pt>
                <c:pt idx="408">
                  <c:v>-1.3313869144207622E-2</c:v>
                </c:pt>
                <c:pt idx="409">
                  <c:v>-1.6342079304576092E-2</c:v>
                </c:pt>
                <c:pt idx="410">
                  <c:v>-1.5413158319496609E-2</c:v>
                </c:pt>
                <c:pt idx="411">
                  <c:v>-1.1008802841955441E-4</c:v>
                </c:pt>
                <c:pt idx="412">
                  <c:v>1.9865533217471048E-4</c:v>
                </c:pt>
                <c:pt idx="413">
                  <c:v>1.0615634079501508E-2</c:v>
                </c:pt>
                <c:pt idx="414">
                  <c:v>-8.135140967293425E-3</c:v>
                </c:pt>
                <c:pt idx="415">
                  <c:v>-3.9316005498381363E-3</c:v>
                </c:pt>
                <c:pt idx="416">
                  <c:v>-1.2794401523913312E-2</c:v>
                </c:pt>
                <c:pt idx="417">
                  <c:v>-2.542196104179012E-2</c:v>
                </c:pt>
                <c:pt idx="418">
                  <c:v>-3.2494700198846468E-3</c:v>
                </c:pt>
                <c:pt idx="419">
                  <c:v>-9.2719730826444358E-3</c:v>
                </c:pt>
                <c:pt idx="420">
                  <c:v>-1.1630862267301898E-2</c:v>
                </c:pt>
                <c:pt idx="421">
                  <c:v>-6.4438268408692967E-3</c:v>
                </c:pt>
                <c:pt idx="422">
                  <c:v>-1.4652112559012526E-2</c:v>
                </c:pt>
                <c:pt idx="423">
                  <c:v>-2.7298948828493659E-2</c:v>
                </c:pt>
                <c:pt idx="424">
                  <c:v>-1.5633325431099916E-3</c:v>
                </c:pt>
                <c:pt idx="425">
                  <c:v>3.0235188585945238E-4</c:v>
                </c:pt>
                <c:pt idx="426">
                  <c:v>-6.5816378484763009E-3</c:v>
                </c:pt>
                <c:pt idx="427">
                  <c:v>-5.9912863171648059E-3</c:v>
                </c:pt>
                <c:pt idx="428">
                  <c:v>-7.7190945681880844E-3</c:v>
                </c:pt>
                <c:pt idx="429">
                  <c:v>5.839521047039456E-4</c:v>
                </c:pt>
                <c:pt idx="430">
                  <c:v>1.9073982345726075E-3</c:v>
                </c:pt>
                <c:pt idx="431">
                  <c:v>-9.7767497582689346E-4</c:v>
                </c:pt>
                <c:pt idx="432">
                  <c:v>9.0005062987818085E-3</c:v>
                </c:pt>
                <c:pt idx="433">
                  <c:v>2.059079921576662E-2</c:v>
                </c:pt>
                <c:pt idx="434">
                  <c:v>-2.5638820606341123E-3</c:v>
                </c:pt>
                <c:pt idx="435">
                  <c:v>-4.8644875998996445E-3</c:v>
                </c:pt>
                <c:pt idx="436">
                  <c:v>-6.3324291513629531E-3</c:v>
                </c:pt>
                <c:pt idx="437">
                  <c:v>8.2967756672543309E-3</c:v>
                </c:pt>
                <c:pt idx="438">
                  <c:v>5.7315376867642098E-3</c:v>
                </c:pt>
                <c:pt idx="439">
                  <c:v>-3.0806740592803378E-4</c:v>
                </c:pt>
                <c:pt idx="440">
                  <c:v>8.7794221624119678E-3</c:v>
                </c:pt>
                <c:pt idx="441">
                  <c:v>3.2903540480847763E-3</c:v>
                </c:pt>
                <c:pt idx="442">
                  <c:v>-1.0746723901329958E-3</c:v>
                </c:pt>
                <c:pt idx="443">
                  <c:v>7.4893344788488306E-3</c:v>
                </c:pt>
                <c:pt idx="444">
                  <c:v>-1.0822747518369953E-2</c:v>
                </c:pt>
                <c:pt idx="445">
                  <c:v>-3.1895602621185085E-3</c:v>
                </c:pt>
                <c:pt idx="446">
                  <c:v>6.5253194789234251E-3</c:v>
                </c:pt>
                <c:pt idx="447">
                  <c:v>1.5963113973912035E-2</c:v>
                </c:pt>
                <c:pt idx="448">
                  <c:v>9.9101867546191429E-3</c:v>
                </c:pt>
                <c:pt idx="449">
                  <c:v>-8.5244125228246537E-3</c:v>
                </c:pt>
                <c:pt idx="450">
                  <c:v>-6.1224333662850822E-3</c:v>
                </c:pt>
                <c:pt idx="451">
                  <c:v>2.6268189660689865E-3</c:v>
                </c:pt>
                <c:pt idx="452">
                  <c:v>1.7734277827040203E-2</c:v>
                </c:pt>
                <c:pt idx="453">
                  <c:v>5.1200022917850425E-3</c:v>
                </c:pt>
                <c:pt idx="454">
                  <c:v>8.4474190407325279E-3</c:v>
                </c:pt>
                <c:pt idx="455">
                  <c:v>-9.4398077446554516E-3</c:v>
                </c:pt>
                <c:pt idx="456">
                  <c:v>-1.9888046918586678E-2</c:v>
                </c:pt>
                <c:pt idx="457">
                  <c:v>-1.0053523200057082E-2</c:v>
                </c:pt>
                <c:pt idx="458">
                  <c:v>1.4551322489528477E-2</c:v>
                </c:pt>
                <c:pt idx="459">
                  <c:v>-6.2290168608923491E-3</c:v>
                </c:pt>
                <c:pt idx="460">
                  <c:v>-5.9228772784043638E-3</c:v>
                </c:pt>
                <c:pt idx="461">
                  <c:v>1.2669413157300026E-3</c:v>
                </c:pt>
                <c:pt idx="462">
                  <c:v>-5.1063719343137672E-3</c:v>
                </c:pt>
                <c:pt idx="463">
                  <c:v>-8.7402116209348325E-3</c:v>
                </c:pt>
                <c:pt idx="464">
                  <c:v>-2.203929462018972E-2</c:v>
                </c:pt>
                <c:pt idx="465">
                  <c:v>-5.9183047817988332E-3</c:v>
                </c:pt>
                <c:pt idx="466">
                  <c:v>-1.1058311580511631E-3</c:v>
                </c:pt>
                <c:pt idx="467">
                  <c:v>3.7619071415550863E-3</c:v>
                </c:pt>
                <c:pt idx="468">
                  <c:v>2.5324329222601062E-2</c:v>
                </c:pt>
                <c:pt idx="469">
                  <c:v>3.6860135372333944E-2</c:v>
                </c:pt>
                <c:pt idx="470">
                  <c:v>2.7411027649896887E-2</c:v>
                </c:pt>
                <c:pt idx="471">
                  <c:v>8.0794730830308775E-4</c:v>
                </c:pt>
                <c:pt idx="472">
                  <c:v>2.914624827417779E-3</c:v>
                </c:pt>
                <c:pt idx="473">
                  <c:v>5.2528767310990945E-3</c:v>
                </c:pt>
                <c:pt idx="474">
                  <c:v>-3.794731447237687E-3</c:v>
                </c:pt>
                <c:pt idx="475">
                  <c:v>-7.3113701675836633E-3</c:v>
                </c:pt>
                <c:pt idx="476">
                  <c:v>3.2716247519299999E-3</c:v>
                </c:pt>
                <c:pt idx="477">
                  <c:v>-1.2176340946128414E-2</c:v>
                </c:pt>
                <c:pt idx="478">
                  <c:v>-2.7171501554196266E-2</c:v>
                </c:pt>
                <c:pt idx="479">
                  <c:v>-2.790658566648882E-2</c:v>
                </c:pt>
                <c:pt idx="480">
                  <c:v>-1.6861434394367669E-2</c:v>
                </c:pt>
                <c:pt idx="481">
                  <c:v>-2.8147532578097309E-2</c:v>
                </c:pt>
                <c:pt idx="482">
                  <c:v>-3.0770383665441603E-2</c:v>
                </c:pt>
                <c:pt idx="483">
                  <c:v>-3.9957959380548823E-2</c:v>
                </c:pt>
                <c:pt idx="484">
                  <c:v>-3.956222049541238E-2</c:v>
                </c:pt>
                <c:pt idx="485">
                  <c:v>-2.522315129426116E-2</c:v>
                </c:pt>
                <c:pt idx="486">
                  <c:v>-3.4819689668556197E-2</c:v>
                </c:pt>
                <c:pt idx="487">
                  <c:v>-2.7379476688870405E-2</c:v>
                </c:pt>
                <c:pt idx="488">
                  <c:v>-2.9898285721287526E-2</c:v>
                </c:pt>
                <c:pt idx="489">
                  <c:v>-1.9379762994537971E-2</c:v>
                </c:pt>
                <c:pt idx="490">
                  <c:v>-7.9957365451999215E-3</c:v>
                </c:pt>
                <c:pt idx="491">
                  <c:v>1.2004102266490405E-3</c:v>
                </c:pt>
                <c:pt idx="492">
                  <c:v>5.6592447705941466E-3</c:v>
                </c:pt>
                <c:pt idx="493">
                  <c:v>2.4699247520155085E-3</c:v>
                </c:pt>
                <c:pt idx="494">
                  <c:v>8.5622945661523869E-3</c:v>
                </c:pt>
                <c:pt idx="495">
                  <c:v>6.0036308798265053E-3</c:v>
                </c:pt>
                <c:pt idx="496">
                  <c:v>2.2834925140592906E-3</c:v>
                </c:pt>
                <c:pt idx="497">
                  <c:v>-3.8190608187114736E-3</c:v>
                </c:pt>
                <c:pt idx="498">
                  <c:v>-1.4061964515743562E-3</c:v>
                </c:pt>
                <c:pt idx="499">
                  <c:v>-1.7997125202869568E-2</c:v>
                </c:pt>
                <c:pt idx="500">
                  <c:v>-2.6405300999451115E-2</c:v>
                </c:pt>
                <c:pt idx="501">
                  <c:v>-2.3991277222007161E-2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5-4820-8FFA-1A5C6B144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22664"/>
        <c:axId val="228721096"/>
      </c:scatterChart>
      <c:valAx>
        <c:axId val="22872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21096"/>
        <c:crosses val="autoZero"/>
        <c:crossBetween val="midCat"/>
      </c:valAx>
      <c:valAx>
        <c:axId val="2287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2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 Stochastic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Sheet1!$R$10</c:f>
              <c:strCache>
                <c:ptCount val="1"/>
                <c:pt idx="0">
                  <c:v>X_ou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Sheet1!$Q$11:$Q$512</c:f>
              <c:numCache>
                <c:formatCode>0.00</c:formatCode>
                <c:ptCount val="502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</c:numCache>
            </c:numRef>
          </c:xVal>
          <c:yVal>
            <c:numRef>
              <c:f>Sheet1!$R$11:$R$512</c:f>
              <c:numCache>
                <c:formatCode>0.0000</c:formatCode>
                <c:ptCount val="502"/>
                <c:pt idx="0">
                  <c:v>5</c:v>
                </c:pt>
                <c:pt idx="1">
                  <c:v>4.4953550510561291</c:v>
                </c:pt>
                <c:pt idx="2">
                  <c:v>4.0440938087249458</c:v>
                </c:pt>
                <c:pt idx="3">
                  <c:v>3.6424023408729864</c:v>
                </c:pt>
                <c:pt idx="4">
                  <c:v>3.2649372246430386</c:v>
                </c:pt>
                <c:pt idx="5">
                  <c:v>2.9232637147850467</c:v>
                </c:pt>
                <c:pt idx="6">
                  <c:v>2.6514980149573462</c:v>
                </c:pt>
                <c:pt idx="7">
                  <c:v>2.3862354923448268</c:v>
                </c:pt>
                <c:pt idx="8">
                  <c:v>2.1589217935351392</c:v>
                </c:pt>
                <c:pt idx="9">
                  <c:v>1.9289663291767742</c:v>
                </c:pt>
                <c:pt idx="10">
                  <c:v>1.7367162813395767</c:v>
                </c:pt>
                <c:pt idx="11">
                  <c:v>1.5597549269772895</c:v>
                </c:pt>
                <c:pt idx="12">
                  <c:v>1.4175756946474507</c:v>
                </c:pt>
                <c:pt idx="13">
                  <c:v>1.2727386748727767</c:v>
                </c:pt>
                <c:pt idx="14">
                  <c:v>1.1348730694083282</c:v>
                </c:pt>
                <c:pt idx="15">
                  <c:v>1.0226315579006029</c:v>
                </c:pt>
                <c:pt idx="16">
                  <c:v>0.90777008386879832</c:v>
                </c:pt>
                <c:pt idx="17">
                  <c:v>0.81022401805586908</c:v>
                </c:pt>
                <c:pt idx="18">
                  <c:v>0.73493828764567959</c:v>
                </c:pt>
                <c:pt idx="19">
                  <c:v>0.64823195749509643</c:v>
                </c:pt>
                <c:pt idx="20">
                  <c:v>0.57421321209484388</c:v>
                </c:pt>
                <c:pt idx="21">
                  <c:v>0.50360306801826993</c:v>
                </c:pt>
                <c:pt idx="22">
                  <c:v>0.4615170861273048</c:v>
                </c:pt>
                <c:pt idx="23">
                  <c:v>0.41702313762175214</c:v>
                </c:pt>
                <c:pt idx="24">
                  <c:v>0.36976855420452598</c:v>
                </c:pt>
                <c:pt idx="25">
                  <c:v>0.33657239989880605</c:v>
                </c:pt>
                <c:pt idx="26">
                  <c:v>0.31370048302463643</c:v>
                </c:pt>
                <c:pt idx="27">
                  <c:v>0.27776177678906799</c:v>
                </c:pt>
                <c:pt idx="28">
                  <c:v>0.24891279859086515</c:v>
                </c:pt>
                <c:pt idx="29">
                  <c:v>0.24537656548403206</c:v>
                </c:pt>
                <c:pt idx="30">
                  <c:v>0.23772114939557526</c:v>
                </c:pt>
                <c:pt idx="31">
                  <c:v>0.21310290498398224</c:v>
                </c:pt>
                <c:pt idx="32">
                  <c:v>0.20787511597698144</c:v>
                </c:pt>
                <c:pt idx="33">
                  <c:v>0.19158828613719139</c:v>
                </c:pt>
                <c:pt idx="34">
                  <c:v>0.18075177606987725</c:v>
                </c:pt>
                <c:pt idx="35">
                  <c:v>0.14362057589296723</c:v>
                </c:pt>
                <c:pt idx="36">
                  <c:v>0.14028616763702909</c:v>
                </c:pt>
                <c:pt idx="37">
                  <c:v>0.14024257622247943</c:v>
                </c:pt>
                <c:pt idx="38">
                  <c:v>0.14125497120667507</c:v>
                </c:pt>
                <c:pt idx="39">
                  <c:v>0.12377892824867798</c:v>
                </c:pt>
                <c:pt idx="40">
                  <c:v>0.10982315711796889</c:v>
                </c:pt>
                <c:pt idx="41">
                  <c:v>8.8858719025170757E-2</c:v>
                </c:pt>
                <c:pt idx="42">
                  <c:v>9.1857307379544381E-2</c:v>
                </c:pt>
                <c:pt idx="43">
                  <c:v>9.8350834337149834E-2</c:v>
                </c:pt>
                <c:pt idx="44">
                  <c:v>7.2767006692539021E-2</c:v>
                </c:pt>
                <c:pt idx="45">
                  <c:v>5.586328376618576E-2</c:v>
                </c:pt>
                <c:pt idx="46">
                  <c:v>5.1971202908677606E-2</c:v>
                </c:pt>
                <c:pt idx="47">
                  <c:v>6.2269751867542127E-2</c:v>
                </c:pt>
                <c:pt idx="48">
                  <c:v>4.2792658326993568E-2</c:v>
                </c:pt>
                <c:pt idx="49">
                  <c:v>4.4685361775066948E-2</c:v>
                </c:pt>
                <c:pt idx="50">
                  <c:v>3.3409481500192628E-2</c:v>
                </c:pt>
                <c:pt idx="51">
                  <c:v>2.4755854662974558E-2</c:v>
                </c:pt>
                <c:pt idx="52">
                  <c:v>2.8920476775984347E-2</c:v>
                </c:pt>
                <c:pt idx="53">
                  <c:v>1.9871750562152693E-2</c:v>
                </c:pt>
                <c:pt idx="54">
                  <c:v>1.0354992910020681E-2</c:v>
                </c:pt>
                <c:pt idx="55">
                  <c:v>1.0798082218450951E-2</c:v>
                </c:pt>
                <c:pt idx="56">
                  <c:v>1.6916001341584455E-2</c:v>
                </c:pt>
                <c:pt idx="57">
                  <c:v>2.1738421633784189E-2</c:v>
                </c:pt>
                <c:pt idx="58">
                  <c:v>1.1606710100151576E-2</c:v>
                </c:pt>
                <c:pt idx="59">
                  <c:v>1.0976611532190416E-2</c:v>
                </c:pt>
                <c:pt idx="60">
                  <c:v>1.3968963577770201E-2</c:v>
                </c:pt>
                <c:pt idx="61">
                  <c:v>-8.364847441754749E-4</c:v>
                </c:pt>
                <c:pt idx="62">
                  <c:v>1.2082312212832876E-2</c:v>
                </c:pt>
                <c:pt idx="63">
                  <c:v>2.3312913672826428E-3</c:v>
                </c:pt>
                <c:pt idx="64">
                  <c:v>6.2310337732166075E-3</c:v>
                </c:pt>
                <c:pt idx="65">
                  <c:v>-3.7756987429268165E-3</c:v>
                </c:pt>
                <c:pt idx="66">
                  <c:v>-4.7088031739064926E-4</c:v>
                </c:pt>
                <c:pt idx="67">
                  <c:v>-1.6906927516088559E-2</c:v>
                </c:pt>
                <c:pt idx="68">
                  <c:v>-6.4886898135436237E-3</c:v>
                </c:pt>
                <c:pt idx="69">
                  <c:v>-1.9653389737119319E-3</c:v>
                </c:pt>
                <c:pt idx="70">
                  <c:v>2.799030172619908E-3</c:v>
                </c:pt>
                <c:pt idx="71">
                  <c:v>-1.0099368839434127E-2</c:v>
                </c:pt>
                <c:pt idx="72">
                  <c:v>-1.086727311679523E-2</c:v>
                </c:pt>
                <c:pt idx="73">
                  <c:v>-3.4098033308224487E-3</c:v>
                </c:pt>
                <c:pt idx="74">
                  <c:v>-2.7960416558143026E-3</c:v>
                </c:pt>
                <c:pt idx="75">
                  <c:v>-1.9168269485670124E-3</c:v>
                </c:pt>
                <c:pt idx="76">
                  <c:v>3.8616764157112802E-3</c:v>
                </c:pt>
                <c:pt idx="77">
                  <c:v>1.1501829805939372E-5</c:v>
                </c:pt>
                <c:pt idx="78">
                  <c:v>-7.165361311810484E-3</c:v>
                </c:pt>
                <c:pt idx="79">
                  <c:v>6.2068577771816971E-3</c:v>
                </c:pt>
                <c:pt idx="80">
                  <c:v>3.0215323370676467E-3</c:v>
                </c:pt>
                <c:pt idx="81">
                  <c:v>-2.4527120419780592E-2</c:v>
                </c:pt>
                <c:pt idx="82">
                  <c:v>-1.7696273216020127E-2</c:v>
                </c:pt>
                <c:pt idx="83">
                  <c:v>1.0397280669201155E-2</c:v>
                </c:pt>
                <c:pt idx="84">
                  <c:v>1.7045434607022028E-2</c:v>
                </c:pt>
                <c:pt idx="85">
                  <c:v>1.3179805424426486E-2</c:v>
                </c:pt>
                <c:pt idx="86">
                  <c:v>2.1264328618697238E-2</c:v>
                </c:pt>
                <c:pt idx="87">
                  <c:v>3.6871801921924005E-2</c:v>
                </c:pt>
                <c:pt idx="88">
                  <c:v>1.630625454729194E-2</c:v>
                </c:pt>
                <c:pt idx="89">
                  <c:v>9.8600472646249125E-3</c:v>
                </c:pt>
                <c:pt idx="90">
                  <c:v>3.3313921981628861E-3</c:v>
                </c:pt>
                <c:pt idx="91">
                  <c:v>1.6102054320365412E-2</c:v>
                </c:pt>
                <c:pt idx="92">
                  <c:v>-9.3635629171989337E-3</c:v>
                </c:pt>
                <c:pt idx="93">
                  <c:v>-1.133344018281735E-2</c:v>
                </c:pt>
                <c:pt idx="94">
                  <c:v>-1.9026836377919437E-2</c:v>
                </c:pt>
                <c:pt idx="95">
                  <c:v>-1.7404455980918609E-2</c:v>
                </c:pt>
                <c:pt idx="96">
                  <c:v>-2.0176582558598159E-2</c:v>
                </c:pt>
                <c:pt idx="97">
                  <c:v>-2.0134393219182964E-2</c:v>
                </c:pt>
                <c:pt idx="98">
                  <c:v>-3.6470335747962601E-3</c:v>
                </c:pt>
                <c:pt idx="99">
                  <c:v>-2.5787871875351167E-2</c:v>
                </c:pt>
                <c:pt idx="100">
                  <c:v>-4.777824666323556E-2</c:v>
                </c:pt>
                <c:pt idx="101">
                  <c:v>-5.1898303160184817E-2</c:v>
                </c:pt>
                <c:pt idx="102">
                  <c:v>-5.0650785545581285E-2</c:v>
                </c:pt>
                <c:pt idx="103">
                  <c:v>-4.2388440550146282E-2</c:v>
                </c:pt>
                <c:pt idx="104">
                  <c:v>-3.7997162769897501E-2</c:v>
                </c:pt>
                <c:pt idx="105">
                  <c:v>-2.6675010896519996E-2</c:v>
                </c:pt>
                <c:pt idx="106">
                  <c:v>-1.0584879156139589E-2</c:v>
                </c:pt>
                <c:pt idx="107">
                  <c:v>-1.0445075117087931E-2</c:v>
                </c:pt>
                <c:pt idx="108">
                  <c:v>3.213921320389633E-3</c:v>
                </c:pt>
                <c:pt idx="109">
                  <c:v>3.8844922425653886E-3</c:v>
                </c:pt>
                <c:pt idx="110">
                  <c:v>3.0533830226824564E-4</c:v>
                </c:pt>
                <c:pt idx="111">
                  <c:v>-4.9759596706113731E-3</c:v>
                </c:pt>
                <c:pt idx="112">
                  <c:v>2.3164639422951862E-2</c:v>
                </c:pt>
                <c:pt idx="113">
                  <c:v>2.5913942005047784E-2</c:v>
                </c:pt>
                <c:pt idx="114">
                  <c:v>3.8743584092951505E-2</c:v>
                </c:pt>
                <c:pt idx="115">
                  <c:v>3.255159505064114E-2</c:v>
                </c:pt>
                <c:pt idx="116">
                  <c:v>3.9046682822489027E-2</c:v>
                </c:pt>
                <c:pt idx="117">
                  <c:v>4.4196585223037398E-2</c:v>
                </c:pt>
                <c:pt idx="118">
                  <c:v>1.9465268409073082E-2</c:v>
                </c:pt>
                <c:pt idx="119">
                  <c:v>1.7090808082077299E-2</c:v>
                </c:pt>
                <c:pt idx="120">
                  <c:v>-3.6783749951447321E-3</c:v>
                </c:pt>
                <c:pt idx="121">
                  <c:v>-4.7681283228294541E-3</c:v>
                </c:pt>
                <c:pt idx="122">
                  <c:v>6.5434746961895232E-3</c:v>
                </c:pt>
                <c:pt idx="123">
                  <c:v>1.2576982865270262E-2</c:v>
                </c:pt>
                <c:pt idx="124">
                  <c:v>1.4217824755501235E-3</c:v>
                </c:pt>
                <c:pt idx="125">
                  <c:v>1.6121753906154005E-3</c:v>
                </c:pt>
                <c:pt idx="126">
                  <c:v>2.7692094391554615E-4</c:v>
                </c:pt>
                <c:pt idx="127">
                  <c:v>-2.4036118046940929E-2</c:v>
                </c:pt>
                <c:pt idx="128">
                  <c:v>-2.0414271518129232E-2</c:v>
                </c:pt>
                <c:pt idx="129">
                  <c:v>-1.9578070228152816E-2</c:v>
                </c:pt>
                <c:pt idx="130">
                  <c:v>-1.2598206123829302E-2</c:v>
                </c:pt>
                <c:pt idx="131">
                  <c:v>-2.195082013920456E-4</c:v>
                </c:pt>
                <c:pt idx="132">
                  <c:v>-4.1282858572627415E-3</c:v>
                </c:pt>
                <c:pt idx="133">
                  <c:v>-1.8267721557575028E-2</c:v>
                </c:pt>
                <c:pt idx="134">
                  <c:v>-1.8042748535798393E-2</c:v>
                </c:pt>
                <c:pt idx="135">
                  <c:v>-3.443391619944948E-2</c:v>
                </c:pt>
                <c:pt idx="136">
                  <c:v>-3.9351487487091705E-2</c:v>
                </c:pt>
                <c:pt idx="137">
                  <c:v>-3.4736929925914345E-2</c:v>
                </c:pt>
                <c:pt idx="138">
                  <c:v>-5.0493283625034108E-2</c:v>
                </c:pt>
                <c:pt idx="139">
                  <c:v>-3.2673427155748849E-2</c:v>
                </c:pt>
                <c:pt idx="140">
                  <c:v>-2.4807008822880137E-2</c:v>
                </c:pt>
                <c:pt idx="141">
                  <c:v>-3.2230187283181402E-2</c:v>
                </c:pt>
                <c:pt idx="142">
                  <c:v>-4.8298160747628743E-2</c:v>
                </c:pt>
                <c:pt idx="143">
                  <c:v>-3.7949084404847115E-2</c:v>
                </c:pt>
                <c:pt idx="144">
                  <c:v>-2.5648752324940648E-2</c:v>
                </c:pt>
                <c:pt idx="145">
                  <c:v>-2.0938141028955342E-2</c:v>
                </c:pt>
                <c:pt idx="146">
                  <c:v>-2.6944500492353574E-2</c:v>
                </c:pt>
                <c:pt idx="147">
                  <c:v>-2.5907643383963414E-2</c:v>
                </c:pt>
                <c:pt idx="148">
                  <c:v>-1.8896049540469348E-2</c:v>
                </c:pt>
                <c:pt idx="149">
                  <c:v>-2.5174355793829949E-2</c:v>
                </c:pt>
                <c:pt idx="150">
                  <c:v>-2.1865629140890835E-2</c:v>
                </c:pt>
                <c:pt idx="151">
                  <c:v>-2.7297242893063341E-2</c:v>
                </c:pt>
                <c:pt idx="152">
                  <c:v>-1.6434351185241617E-2</c:v>
                </c:pt>
                <c:pt idx="153">
                  <c:v>-1.3309929593851629E-2</c:v>
                </c:pt>
                <c:pt idx="154">
                  <c:v>-1.9111749615470932E-2</c:v>
                </c:pt>
                <c:pt idx="155">
                  <c:v>-2.8010177903928315E-2</c:v>
                </c:pt>
                <c:pt idx="156">
                  <c:v>-2.3974779774431021E-2</c:v>
                </c:pt>
                <c:pt idx="157">
                  <c:v>-1.4761109294229469E-2</c:v>
                </c:pt>
                <c:pt idx="158">
                  <c:v>-2.2397151685391536E-2</c:v>
                </c:pt>
                <c:pt idx="159">
                  <c:v>-3.576137066250383E-2</c:v>
                </c:pt>
                <c:pt idx="160">
                  <c:v>-3.443768478526274E-2</c:v>
                </c:pt>
                <c:pt idx="161">
                  <c:v>-3.4949511066889628E-2</c:v>
                </c:pt>
                <c:pt idx="162">
                  <c:v>-2.2812135880136267E-2</c:v>
                </c:pt>
                <c:pt idx="163">
                  <c:v>-1.7810707948308961E-2</c:v>
                </c:pt>
                <c:pt idx="164">
                  <c:v>-1.5452124260319914E-2</c:v>
                </c:pt>
                <c:pt idx="165">
                  <c:v>-2.3922437225478547E-2</c:v>
                </c:pt>
                <c:pt idx="166">
                  <c:v>-2.6602774783646446E-2</c:v>
                </c:pt>
                <c:pt idx="167">
                  <c:v>-3.8595571986387862E-2</c:v>
                </c:pt>
                <c:pt idx="168">
                  <c:v>-2.7656911046831864E-2</c:v>
                </c:pt>
                <c:pt idx="169">
                  <c:v>-2.2999591319382652E-2</c:v>
                </c:pt>
                <c:pt idx="170">
                  <c:v>-1.840963510587746E-2</c:v>
                </c:pt>
                <c:pt idx="171">
                  <c:v>-1.9491707022224077E-2</c:v>
                </c:pt>
                <c:pt idx="172">
                  <c:v>-2.919858411021398E-2</c:v>
                </c:pt>
                <c:pt idx="173">
                  <c:v>-4.0153532215507312E-2</c:v>
                </c:pt>
                <c:pt idx="174">
                  <c:v>-3.3477949653733706E-2</c:v>
                </c:pt>
                <c:pt idx="175">
                  <c:v>-3.3901770852651177E-2</c:v>
                </c:pt>
                <c:pt idx="176">
                  <c:v>-3.1927381315954372E-2</c:v>
                </c:pt>
                <c:pt idx="177">
                  <c:v>-3.0924810495683942E-2</c:v>
                </c:pt>
                <c:pt idx="178">
                  <c:v>-1.8762098375567287E-2</c:v>
                </c:pt>
                <c:pt idx="179">
                  <c:v>-1.4443886587342698E-3</c:v>
                </c:pt>
                <c:pt idx="180">
                  <c:v>-1.2112289658568211E-3</c:v>
                </c:pt>
                <c:pt idx="181">
                  <c:v>1.6654205383849394E-3</c:v>
                </c:pt>
                <c:pt idx="182">
                  <c:v>-1.2601378047255737E-2</c:v>
                </c:pt>
                <c:pt idx="183">
                  <c:v>-2.575777777618116E-2</c:v>
                </c:pt>
                <c:pt idx="184">
                  <c:v>-9.2257030364560622E-3</c:v>
                </c:pt>
                <c:pt idx="185">
                  <c:v>-1.929856011422305E-2</c:v>
                </c:pt>
                <c:pt idx="186">
                  <c:v>-3.0861116740481739E-3</c:v>
                </c:pt>
                <c:pt idx="187">
                  <c:v>-3.8789636883997244E-3</c:v>
                </c:pt>
                <c:pt idx="188">
                  <c:v>-1.4842009126317911E-2</c:v>
                </c:pt>
                <c:pt idx="189">
                  <c:v>-1.5514562303340893E-2</c:v>
                </c:pt>
                <c:pt idx="190">
                  <c:v>-1.3400366818318283E-2</c:v>
                </c:pt>
                <c:pt idx="191">
                  <c:v>1.204645222489786E-3</c:v>
                </c:pt>
                <c:pt idx="192">
                  <c:v>9.7300448057412413E-3</c:v>
                </c:pt>
                <c:pt idx="193">
                  <c:v>7.5057970306872911E-3</c:v>
                </c:pt>
                <c:pt idx="194">
                  <c:v>-5.5514808398184588E-3</c:v>
                </c:pt>
                <c:pt idx="195">
                  <c:v>-1.56372982808866E-2</c:v>
                </c:pt>
                <c:pt idx="196">
                  <c:v>-3.189013224339405E-2</c:v>
                </c:pt>
                <c:pt idx="197">
                  <c:v>-2.4197529062683784E-2</c:v>
                </c:pt>
                <c:pt idx="198">
                  <c:v>-2.8660572477022635E-2</c:v>
                </c:pt>
                <c:pt idx="199">
                  <c:v>-2.2940205817973874E-2</c:v>
                </c:pt>
                <c:pt idx="200">
                  <c:v>-1.8993850665111209E-2</c:v>
                </c:pt>
                <c:pt idx="201">
                  <c:v>-2.970558947882352E-2</c:v>
                </c:pt>
                <c:pt idx="202">
                  <c:v>-2.5385046215920005E-2</c:v>
                </c:pt>
                <c:pt idx="203">
                  <c:v>-2.2704514914814396E-2</c:v>
                </c:pt>
                <c:pt idx="204">
                  <c:v>-2.5727058172893065E-2</c:v>
                </c:pt>
                <c:pt idx="205">
                  <c:v>-2.6876748536793178E-2</c:v>
                </c:pt>
                <c:pt idx="206">
                  <c:v>-3.0791609858712599E-2</c:v>
                </c:pt>
                <c:pt idx="207">
                  <c:v>-1.4545568365186275E-2</c:v>
                </c:pt>
                <c:pt idx="208">
                  <c:v>3.6962486663737783E-3</c:v>
                </c:pt>
                <c:pt idx="209">
                  <c:v>6.3843414122319482E-3</c:v>
                </c:pt>
                <c:pt idx="210">
                  <c:v>9.0780118692912852E-3</c:v>
                </c:pt>
                <c:pt idx="211">
                  <c:v>8.0938131171195676E-3</c:v>
                </c:pt>
                <c:pt idx="212">
                  <c:v>2.7249643538579865E-2</c:v>
                </c:pt>
                <c:pt idx="213">
                  <c:v>3.6678032554918451E-2</c:v>
                </c:pt>
                <c:pt idx="214">
                  <c:v>3.7232571144018782E-2</c:v>
                </c:pt>
                <c:pt idx="215">
                  <c:v>3.2567152267732456E-2</c:v>
                </c:pt>
                <c:pt idx="216">
                  <c:v>2.7993684128636672E-2</c:v>
                </c:pt>
                <c:pt idx="217">
                  <c:v>2.8136990688661087E-2</c:v>
                </c:pt>
                <c:pt idx="218">
                  <c:v>1.0042490289819222E-2</c:v>
                </c:pt>
                <c:pt idx="219">
                  <c:v>2.1217383140017546E-2</c:v>
                </c:pt>
                <c:pt idx="220">
                  <c:v>1.3993052910622545E-2</c:v>
                </c:pt>
                <c:pt idx="221">
                  <c:v>2.6273219709533589E-2</c:v>
                </c:pt>
                <c:pt idx="222">
                  <c:v>1.2966234508107164E-2</c:v>
                </c:pt>
                <c:pt idx="223">
                  <c:v>1.7372744124994111E-2</c:v>
                </c:pt>
                <c:pt idx="224">
                  <c:v>2.9044686818832523E-2</c:v>
                </c:pt>
                <c:pt idx="225">
                  <c:v>3.2503142594606793E-2</c:v>
                </c:pt>
                <c:pt idx="226">
                  <c:v>1.7053057975556521E-2</c:v>
                </c:pt>
                <c:pt idx="227">
                  <c:v>7.0719486637265284E-3</c:v>
                </c:pt>
                <c:pt idx="228">
                  <c:v>1.4252145919584205E-2</c:v>
                </c:pt>
                <c:pt idx="229">
                  <c:v>2.6612008438400572E-2</c:v>
                </c:pt>
                <c:pt idx="230">
                  <c:v>2.5372371562754396E-2</c:v>
                </c:pt>
                <c:pt idx="231">
                  <c:v>1.3093985111211171E-2</c:v>
                </c:pt>
                <c:pt idx="232">
                  <c:v>8.1521941127040663E-3</c:v>
                </c:pt>
                <c:pt idx="233">
                  <c:v>-5.7991207247046518E-3</c:v>
                </c:pt>
                <c:pt idx="234">
                  <c:v>-3.719400661098834E-3</c:v>
                </c:pt>
                <c:pt idx="235">
                  <c:v>-1.4433510037202637E-2</c:v>
                </c:pt>
                <c:pt idx="236">
                  <c:v>-1.6517174399997885E-2</c:v>
                </c:pt>
                <c:pt idx="237">
                  <c:v>-2.412071515365382E-2</c:v>
                </c:pt>
                <c:pt idx="238">
                  <c:v>-3.0672280758954722E-2</c:v>
                </c:pt>
                <c:pt idx="239">
                  <c:v>-1.6321103320663714E-2</c:v>
                </c:pt>
                <c:pt idx="240">
                  <c:v>-9.6376744807713279E-3</c:v>
                </c:pt>
                <c:pt idx="241">
                  <c:v>-7.7920117551718258E-3</c:v>
                </c:pt>
                <c:pt idx="242">
                  <c:v>2.156231578180505E-3</c:v>
                </c:pt>
                <c:pt idx="243">
                  <c:v>-6.2190971651008096E-3</c:v>
                </c:pt>
                <c:pt idx="244">
                  <c:v>-8.3646555224921905E-3</c:v>
                </c:pt>
                <c:pt idx="245">
                  <c:v>-1.8204870101161647E-2</c:v>
                </c:pt>
                <c:pt idx="246">
                  <c:v>-3.1578371307792577E-2</c:v>
                </c:pt>
                <c:pt idx="247">
                  <c:v>-1.2981576030074465E-2</c:v>
                </c:pt>
                <c:pt idx="248">
                  <c:v>-3.2591137236266332E-2</c:v>
                </c:pt>
                <c:pt idx="249">
                  <c:v>-3.262431112986424E-2</c:v>
                </c:pt>
                <c:pt idx="250">
                  <c:v>-3.4331814624083835E-2</c:v>
                </c:pt>
                <c:pt idx="251">
                  <c:v>-1.014648286100921E-2</c:v>
                </c:pt>
                <c:pt idx="252">
                  <c:v>-3.7593004270437356E-3</c:v>
                </c:pt>
                <c:pt idx="253">
                  <c:v>-2.1544143464481538E-2</c:v>
                </c:pt>
                <c:pt idx="254">
                  <c:v>-6.6877102759767878E-3</c:v>
                </c:pt>
                <c:pt idx="255">
                  <c:v>1.2095406269805006E-2</c:v>
                </c:pt>
                <c:pt idx="256">
                  <c:v>-7.792336386853593E-3</c:v>
                </c:pt>
                <c:pt idx="257">
                  <c:v>-1.3046259608289647E-2</c:v>
                </c:pt>
                <c:pt idx="258">
                  <c:v>-1.7182653059321963E-2</c:v>
                </c:pt>
                <c:pt idx="259">
                  <c:v>-8.3329493844782124E-3</c:v>
                </c:pt>
                <c:pt idx="260">
                  <c:v>-3.5617517219257841E-3</c:v>
                </c:pt>
                <c:pt idx="261">
                  <c:v>-1.654389690917122E-2</c:v>
                </c:pt>
                <c:pt idx="262">
                  <c:v>-1.1358539805579812E-2</c:v>
                </c:pt>
                <c:pt idx="263">
                  <c:v>3.707638138048917E-3</c:v>
                </c:pt>
                <c:pt idx="264">
                  <c:v>2.5205648221767261E-2</c:v>
                </c:pt>
                <c:pt idx="265">
                  <c:v>2.6118305188583449E-2</c:v>
                </c:pt>
                <c:pt idx="266">
                  <c:v>2.1911130291825863E-2</c:v>
                </c:pt>
                <c:pt idx="267">
                  <c:v>-5.7981082394546711E-3</c:v>
                </c:pt>
                <c:pt idx="268">
                  <c:v>4.3436237107629932E-3</c:v>
                </c:pt>
                <c:pt idx="269">
                  <c:v>1.9999878222387642E-2</c:v>
                </c:pt>
                <c:pt idx="270">
                  <c:v>1.8669737258820155E-2</c:v>
                </c:pt>
                <c:pt idx="271">
                  <c:v>2.5148359399488271E-2</c:v>
                </c:pt>
                <c:pt idx="272">
                  <c:v>1.9484569726735734E-2</c:v>
                </c:pt>
                <c:pt idx="273">
                  <c:v>3.4762883082986744E-2</c:v>
                </c:pt>
                <c:pt idx="274">
                  <c:v>4.324697792742821E-2</c:v>
                </c:pt>
                <c:pt idx="275">
                  <c:v>4.1956999545358128E-2</c:v>
                </c:pt>
                <c:pt idx="276">
                  <c:v>5.5955976073910806E-2</c:v>
                </c:pt>
                <c:pt idx="277">
                  <c:v>7.5245717367013187E-2</c:v>
                </c:pt>
                <c:pt idx="278">
                  <c:v>5.1360450725788126E-2</c:v>
                </c:pt>
                <c:pt idx="279">
                  <c:v>4.3090226650620886E-2</c:v>
                </c:pt>
                <c:pt idx="280">
                  <c:v>2.508649493972882E-2</c:v>
                </c:pt>
                <c:pt idx="281">
                  <c:v>3.4205602140570078E-3</c:v>
                </c:pt>
                <c:pt idx="282">
                  <c:v>1.7470709006202137E-2</c:v>
                </c:pt>
                <c:pt idx="283">
                  <c:v>1.8557990202406775E-2</c:v>
                </c:pt>
                <c:pt idx="284">
                  <c:v>1.4547573767163891E-2</c:v>
                </c:pt>
                <c:pt idx="285">
                  <c:v>9.9800899523045869E-3</c:v>
                </c:pt>
                <c:pt idx="286">
                  <c:v>-8.601203705700073E-3</c:v>
                </c:pt>
                <c:pt idx="287">
                  <c:v>8.0878806803841609E-3</c:v>
                </c:pt>
                <c:pt idx="288">
                  <c:v>1.7167339528004345E-2</c:v>
                </c:pt>
                <c:pt idx="289">
                  <c:v>2.3012679236914659E-2</c:v>
                </c:pt>
                <c:pt idx="290">
                  <c:v>1.5501360399145701E-2</c:v>
                </c:pt>
                <c:pt idx="291">
                  <c:v>5.9828799428963807E-3</c:v>
                </c:pt>
                <c:pt idx="292">
                  <c:v>-4.2558748567267397E-3</c:v>
                </c:pt>
                <c:pt idx="293">
                  <c:v>-6.1223397440837947E-3</c:v>
                </c:pt>
                <c:pt idx="294">
                  <c:v>3.6649553479655142E-3</c:v>
                </c:pt>
                <c:pt idx="295">
                  <c:v>1.1527698627641574E-2</c:v>
                </c:pt>
                <c:pt idx="296">
                  <c:v>6.7607277994926806E-3</c:v>
                </c:pt>
                <c:pt idx="297">
                  <c:v>1.192633470459516E-2</c:v>
                </c:pt>
                <c:pt idx="298">
                  <c:v>2.6352098878408645E-2</c:v>
                </c:pt>
                <c:pt idx="299">
                  <c:v>3.5141008159862326E-2</c:v>
                </c:pt>
                <c:pt idx="300">
                  <c:v>4.1999047979319921E-2</c:v>
                </c:pt>
                <c:pt idx="301">
                  <c:v>4.6966218371828787E-2</c:v>
                </c:pt>
                <c:pt idx="302">
                  <c:v>4.6844228263100918E-2</c:v>
                </c:pt>
                <c:pt idx="303">
                  <c:v>4.3779652867810652E-2</c:v>
                </c:pt>
                <c:pt idx="304">
                  <c:v>3.2293314876347422E-2</c:v>
                </c:pt>
                <c:pt idx="305">
                  <c:v>3.1039266706457007E-2</c:v>
                </c:pt>
                <c:pt idx="306">
                  <c:v>5.6066758708884876E-2</c:v>
                </c:pt>
                <c:pt idx="307">
                  <c:v>5.1098673896465392E-2</c:v>
                </c:pt>
                <c:pt idx="308">
                  <c:v>5.5902361738690967E-2</c:v>
                </c:pt>
                <c:pt idx="309">
                  <c:v>8.5872118597049324E-2</c:v>
                </c:pt>
                <c:pt idx="310">
                  <c:v>6.9831278762099297E-2</c:v>
                </c:pt>
                <c:pt idx="311">
                  <c:v>6.8708408839116192E-2</c:v>
                </c:pt>
                <c:pt idx="312">
                  <c:v>7.7250123624762038E-2</c:v>
                </c:pt>
                <c:pt idx="313">
                  <c:v>7.4889104393939893E-2</c:v>
                </c:pt>
                <c:pt idx="314">
                  <c:v>6.6818572839809215E-2</c:v>
                </c:pt>
                <c:pt idx="315">
                  <c:v>5.8355734259820422E-2</c:v>
                </c:pt>
                <c:pt idx="316">
                  <c:v>4.2466251442122356E-2</c:v>
                </c:pt>
                <c:pt idx="317">
                  <c:v>4.1959008605252271E-2</c:v>
                </c:pt>
                <c:pt idx="318">
                  <c:v>4.360908603431049E-2</c:v>
                </c:pt>
                <c:pt idx="319">
                  <c:v>3.8098638864881448E-2</c:v>
                </c:pt>
                <c:pt idx="320">
                  <c:v>2.8493694109821457E-2</c:v>
                </c:pt>
                <c:pt idx="321">
                  <c:v>2.2379642690827505E-2</c:v>
                </c:pt>
                <c:pt idx="322">
                  <c:v>3.1774245357208235E-2</c:v>
                </c:pt>
                <c:pt idx="323">
                  <c:v>1.553052096749441E-2</c:v>
                </c:pt>
                <c:pt idx="324">
                  <c:v>3.429511806307297E-2</c:v>
                </c:pt>
                <c:pt idx="325">
                  <c:v>4.7900239730932569E-2</c:v>
                </c:pt>
                <c:pt idx="326">
                  <c:v>6.2734720985015174E-2</c:v>
                </c:pt>
                <c:pt idx="327">
                  <c:v>5.3873028305189218E-2</c:v>
                </c:pt>
                <c:pt idx="328">
                  <c:v>6.2782534420526254E-2</c:v>
                </c:pt>
                <c:pt idx="329">
                  <c:v>4.3894652414272005E-2</c:v>
                </c:pt>
                <c:pt idx="330">
                  <c:v>3.8369780900418954E-2</c:v>
                </c:pt>
                <c:pt idx="331">
                  <c:v>6.3890849287605578E-2</c:v>
                </c:pt>
                <c:pt idx="332">
                  <c:v>6.0590305594343988E-2</c:v>
                </c:pt>
                <c:pt idx="333">
                  <c:v>5.871273723098272E-2</c:v>
                </c:pt>
                <c:pt idx="334">
                  <c:v>6.1801174276606877E-2</c:v>
                </c:pt>
                <c:pt idx="335">
                  <c:v>4.5980031836032359E-2</c:v>
                </c:pt>
                <c:pt idx="336">
                  <c:v>3.6531923015663097E-2</c:v>
                </c:pt>
                <c:pt idx="337">
                  <c:v>3.6279454844401156E-2</c:v>
                </c:pt>
                <c:pt idx="338">
                  <c:v>2.7451083209311063E-2</c:v>
                </c:pt>
                <c:pt idx="339">
                  <c:v>2.5937729963807426E-2</c:v>
                </c:pt>
                <c:pt idx="340">
                  <c:v>2.6924312156450095E-2</c:v>
                </c:pt>
                <c:pt idx="341">
                  <c:v>2.124566092331432E-2</c:v>
                </c:pt>
                <c:pt idx="342">
                  <c:v>-2.4370688978234134E-4</c:v>
                </c:pt>
                <c:pt idx="343">
                  <c:v>5.1143918023125183E-4</c:v>
                </c:pt>
                <c:pt idx="344">
                  <c:v>-4.9178237173799029E-6</c:v>
                </c:pt>
                <c:pt idx="345">
                  <c:v>-5.0047756707888883E-3</c:v>
                </c:pt>
                <c:pt idx="346">
                  <c:v>4.0776929475106411E-3</c:v>
                </c:pt>
                <c:pt idx="347">
                  <c:v>1.8666142847719041E-2</c:v>
                </c:pt>
                <c:pt idx="348">
                  <c:v>5.7017781759278185E-3</c:v>
                </c:pt>
                <c:pt idx="349">
                  <c:v>1.9203196947417928E-2</c:v>
                </c:pt>
                <c:pt idx="350">
                  <c:v>2.1492460405191184E-2</c:v>
                </c:pt>
                <c:pt idx="351">
                  <c:v>1.3882342858125174E-2</c:v>
                </c:pt>
                <c:pt idx="352">
                  <c:v>3.1465525952236294E-3</c:v>
                </c:pt>
                <c:pt idx="353">
                  <c:v>-3.0474546578718991E-3</c:v>
                </c:pt>
                <c:pt idx="354">
                  <c:v>1.5029543245355477E-3</c:v>
                </c:pt>
                <c:pt idx="355">
                  <c:v>9.2555470685687646E-3</c:v>
                </c:pt>
                <c:pt idx="356">
                  <c:v>2.2855171748783869E-2</c:v>
                </c:pt>
                <c:pt idx="357">
                  <c:v>3.6950077880983437E-2</c:v>
                </c:pt>
                <c:pt idx="358">
                  <c:v>5.9697451775845074E-2</c:v>
                </c:pt>
                <c:pt idx="359">
                  <c:v>2.4138619069473753E-2</c:v>
                </c:pt>
                <c:pt idx="360">
                  <c:v>1.4982615859890351E-2</c:v>
                </c:pt>
                <c:pt idx="361">
                  <c:v>1.2433998597554057E-2</c:v>
                </c:pt>
                <c:pt idx="362">
                  <c:v>9.7560533655603483E-3</c:v>
                </c:pt>
                <c:pt idx="363">
                  <c:v>1.7908252564710896E-2</c:v>
                </c:pt>
                <c:pt idx="364">
                  <c:v>1.8801684377121562E-2</c:v>
                </c:pt>
                <c:pt idx="365">
                  <c:v>3.3804032340090398E-2</c:v>
                </c:pt>
                <c:pt idx="366">
                  <c:v>3.3160054619837169E-2</c:v>
                </c:pt>
                <c:pt idx="367">
                  <c:v>1.4831820072063771E-2</c:v>
                </c:pt>
                <c:pt idx="368">
                  <c:v>2.9263443571656184E-2</c:v>
                </c:pt>
                <c:pt idx="369">
                  <c:v>4.0546561000758471E-2</c:v>
                </c:pt>
                <c:pt idx="370">
                  <c:v>4.7366687592421255E-2</c:v>
                </c:pt>
                <c:pt idx="371">
                  <c:v>3.3695699335236098E-2</c:v>
                </c:pt>
                <c:pt idx="372">
                  <c:v>2.8887530281832743E-2</c:v>
                </c:pt>
                <c:pt idx="373">
                  <c:v>6.1913726889350103E-3</c:v>
                </c:pt>
                <c:pt idx="374">
                  <c:v>1.498367685491598E-3</c:v>
                </c:pt>
                <c:pt idx="375">
                  <c:v>-1.1612122823769914E-2</c:v>
                </c:pt>
                <c:pt idx="376">
                  <c:v>-1.0379574840506608E-2</c:v>
                </c:pt>
                <c:pt idx="377">
                  <c:v>-2.0581693503739666E-2</c:v>
                </c:pt>
                <c:pt idx="378">
                  <c:v>-2.9962125244994382E-2</c:v>
                </c:pt>
                <c:pt idx="379">
                  <c:v>-2.526099796615322E-2</c:v>
                </c:pt>
                <c:pt idx="380">
                  <c:v>-9.0451574821890715E-3</c:v>
                </c:pt>
                <c:pt idx="381">
                  <c:v>-6.3749065005347339E-3</c:v>
                </c:pt>
                <c:pt idx="382">
                  <c:v>2.2997895546457339E-4</c:v>
                </c:pt>
                <c:pt idx="383">
                  <c:v>-2.8339502922743341E-3</c:v>
                </c:pt>
                <c:pt idx="384">
                  <c:v>1.6635301930939322E-3</c:v>
                </c:pt>
                <c:pt idx="385">
                  <c:v>-7.1547840215673295E-3</c:v>
                </c:pt>
                <c:pt idx="386">
                  <c:v>-4.7030757260942994E-3</c:v>
                </c:pt>
                <c:pt idx="387">
                  <c:v>-1.0677398891221209E-2</c:v>
                </c:pt>
                <c:pt idx="388">
                  <c:v>3.1409203561567501E-3</c:v>
                </c:pt>
                <c:pt idx="389">
                  <c:v>-2.1051469225026711E-3</c:v>
                </c:pt>
                <c:pt idx="390">
                  <c:v>-3.0366003934237567E-3</c:v>
                </c:pt>
                <c:pt idx="391">
                  <c:v>-3.0528091413947987E-3</c:v>
                </c:pt>
                <c:pt idx="392">
                  <c:v>-1.1371555188351971E-2</c:v>
                </c:pt>
                <c:pt idx="393">
                  <c:v>1.9671149460419313E-4</c:v>
                </c:pt>
                <c:pt idx="394">
                  <c:v>5.3388478862495328E-3</c:v>
                </c:pt>
                <c:pt idx="395">
                  <c:v>-9.9572623708500067E-4</c:v>
                </c:pt>
                <c:pt idx="396">
                  <c:v>-1.5533915588262007E-2</c:v>
                </c:pt>
                <c:pt idx="397">
                  <c:v>-9.6563831604189569E-3</c:v>
                </c:pt>
                <c:pt idx="398">
                  <c:v>-3.8513311177809997E-2</c:v>
                </c:pt>
                <c:pt idx="399">
                  <c:v>-3.241155456842968E-2</c:v>
                </c:pt>
                <c:pt idx="400">
                  <c:v>-1.7702551038737621E-2</c:v>
                </c:pt>
                <c:pt idx="401">
                  <c:v>-2.2267068285992734E-2</c:v>
                </c:pt>
                <c:pt idx="402">
                  <c:v>-8.4558650048228295E-3</c:v>
                </c:pt>
                <c:pt idx="403">
                  <c:v>3.8224477686343346E-3</c:v>
                </c:pt>
                <c:pt idx="404">
                  <c:v>4.3232108479011877E-3</c:v>
                </c:pt>
                <c:pt idx="405">
                  <c:v>-5.505525145685022E-3</c:v>
                </c:pt>
                <c:pt idx="406">
                  <c:v>-2.0232462156609433E-2</c:v>
                </c:pt>
                <c:pt idx="407">
                  <c:v>-2.6364669728419693E-2</c:v>
                </c:pt>
                <c:pt idx="408">
                  <c:v>-1.3313869144207622E-2</c:v>
                </c:pt>
                <c:pt idx="409">
                  <c:v>-1.6342079304576092E-2</c:v>
                </c:pt>
                <c:pt idx="410">
                  <c:v>-1.5413158319496609E-2</c:v>
                </c:pt>
                <c:pt idx="411">
                  <c:v>-1.1008802841955441E-4</c:v>
                </c:pt>
                <c:pt idx="412">
                  <c:v>1.9865533217471048E-4</c:v>
                </c:pt>
                <c:pt idx="413">
                  <c:v>1.0615634079501508E-2</c:v>
                </c:pt>
                <c:pt idx="414">
                  <c:v>-8.135140967293425E-3</c:v>
                </c:pt>
                <c:pt idx="415">
                  <c:v>-3.9316005498381363E-3</c:v>
                </c:pt>
                <c:pt idx="416">
                  <c:v>-1.2794401523913312E-2</c:v>
                </c:pt>
                <c:pt idx="417">
                  <c:v>-2.542196104179012E-2</c:v>
                </c:pt>
                <c:pt idx="418">
                  <c:v>-3.2494700198846468E-3</c:v>
                </c:pt>
                <c:pt idx="419">
                  <c:v>-9.2719730826444358E-3</c:v>
                </c:pt>
                <c:pt idx="420">
                  <c:v>-1.1630862267301898E-2</c:v>
                </c:pt>
                <c:pt idx="421">
                  <c:v>-6.4438268408692967E-3</c:v>
                </c:pt>
                <c:pt idx="422">
                  <c:v>-1.4652112559012526E-2</c:v>
                </c:pt>
                <c:pt idx="423">
                  <c:v>-2.7298948828493659E-2</c:v>
                </c:pt>
                <c:pt idx="424">
                  <c:v>-1.5633325431099916E-3</c:v>
                </c:pt>
                <c:pt idx="425">
                  <c:v>3.0235188585945238E-4</c:v>
                </c:pt>
                <c:pt idx="426">
                  <c:v>-6.5816378484763009E-3</c:v>
                </c:pt>
                <c:pt idx="427">
                  <c:v>-5.9912863171648059E-3</c:v>
                </c:pt>
                <c:pt idx="428">
                  <c:v>-7.7190945681880844E-3</c:v>
                </c:pt>
                <c:pt idx="429">
                  <c:v>5.839521047039456E-4</c:v>
                </c:pt>
                <c:pt idx="430">
                  <c:v>1.9073982345726075E-3</c:v>
                </c:pt>
                <c:pt idx="431">
                  <c:v>-9.7767497582689346E-4</c:v>
                </c:pt>
                <c:pt idx="432">
                  <c:v>9.0005062987818085E-3</c:v>
                </c:pt>
                <c:pt idx="433">
                  <c:v>2.059079921576662E-2</c:v>
                </c:pt>
                <c:pt idx="434">
                  <c:v>-2.5638820606341123E-3</c:v>
                </c:pt>
                <c:pt idx="435">
                  <c:v>-4.8644875998996445E-3</c:v>
                </c:pt>
                <c:pt idx="436">
                  <c:v>-6.3324291513629531E-3</c:v>
                </c:pt>
                <c:pt idx="437">
                  <c:v>8.2967756672543309E-3</c:v>
                </c:pt>
                <c:pt idx="438">
                  <c:v>5.7315376867642098E-3</c:v>
                </c:pt>
                <c:pt idx="439">
                  <c:v>-3.0806740592803378E-4</c:v>
                </c:pt>
                <c:pt idx="440">
                  <c:v>8.7794221624119678E-3</c:v>
                </c:pt>
                <c:pt idx="441">
                  <c:v>3.2903540480847763E-3</c:v>
                </c:pt>
                <c:pt idx="442">
                  <c:v>-1.0746723901329958E-3</c:v>
                </c:pt>
                <c:pt idx="443">
                  <c:v>7.4893344788488306E-3</c:v>
                </c:pt>
                <c:pt idx="444">
                  <c:v>-1.0822747518369953E-2</c:v>
                </c:pt>
                <c:pt idx="445">
                  <c:v>-3.1895602621185085E-3</c:v>
                </c:pt>
                <c:pt idx="446">
                  <c:v>6.5253194789234251E-3</c:v>
                </c:pt>
                <c:pt idx="447">
                  <c:v>1.5963113973912035E-2</c:v>
                </c:pt>
                <c:pt idx="448">
                  <c:v>9.9101867546191429E-3</c:v>
                </c:pt>
                <c:pt idx="449">
                  <c:v>-8.5244125228246537E-3</c:v>
                </c:pt>
                <c:pt idx="450">
                  <c:v>-6.1224333662850822E-3</c:v>
                </c:pt>
                <c:pt idx="451">
                  <c:v>2.6268189660689865E-3</c:v>
                </c:pt>
                <c:pt idx="452">
                  <c:v>1.7734277827040203E-2</c:v>
                </c:pt>
                <c:pt idx="453">
                  <c:v>5.1200022917850425E-3</c:v>
                </c:pt>
                <c:pt idx="454">
                  <c:v>8.4474190407325279E-3</c:v>
                </c:pt>
                <c:pt idx="455">
                  <c:v>-9.4398077446554516E-3</c:v>
                </c:pt>
                <c:pt idx="456">
                  <c:v>-1.9888046918586678E-2</c:v>
                </c:pt>
                <c:pt idx="457">
                  <c:v>-1.0053523200057082E-2</c:v>
                </c:pt>
                <c:pt idx="458">
                  <c:v>1.4551322489528477E-2</c:v>
                </c:pt>
                <c:pt idx="459">
                  <c:v>-6.2290168608923491E-3</c:v>
                </c:pt>
                <c:pt idx="460">
                  <c:v>-5.9228772784043638E-3</c:v>
                </c:pt>
                <c:pt idx="461">
                  <c:v>1.2669413157300026E-3</c:v>
                </c:pt>
                <c:pt idx="462">
                  <c:v>-5.1063719343137672E-3</c:v>
                </c:pt>
                <c:pt idx="463">
                  <c:v>-8.7402116209348325E-3</c:v>
                </c:pt>
                <c:pt idx="464">
                  <c:v>-2.203929462018972E-2</c:v>
                </c:pt>
                <c:pt idx="465">
                  <c:v>-5.9183047817988332E-3</c:v>
                </c:pt>
                <c:pt idx="466">
                  <c:v>-1.1058311580511631E-3</c:v>
                </c:pt>
                <c:pt idx="467">
                  <c:v>3.7619071415550863E-3</c:v>
                </c:pt>
                <c:pt idx="468">
                  <c:v>2.5324329222601062E-2</c:v>
                </c:pt>
                <c:pt idx="469">
                  <c:v>3.6860135372333944E-2</c:v>
                </c:pt>
                <c:pt idx="470">
                  <c:v>2.7411027649896887E-2</c:v>
                </c:pt>
                <c:pt idx="471">
                  <c:v>8.0794730830308775E-4</c:v>
                </c:pt>
                <c:pt idx="472">
                  <c:v>2.914624827417779E-3</c:v>
                </c:pt>
                <c:pt idx="473">
                  <c:v>5.2528767310990945E-3</c:v>
                </c:pt>
                <c:pt idx="474">
                  <c:v>-3.794731447237687E-3</c:v>
                </c:pt>
                <c:pt idx="475">
                  <c:v>-7.3113701675836633E-3</c:v>
                </c:pt>
                <c:pt idx="476">
                  <c:v>3.2716247519299999E-3</c:v>
                </c:pt>
                <c:pt idx="477">
                  <c:v>-1.2176340946128414E-2</c:v>
                </c:pt>
                <c:pt idx="478">
                  <c:v>-2.7171501554196266E-2</c:v>
                </c:pt>
                <c:pt idx="479">
                  <c:v>-2.790658566648882E-2</c:v>
                </c:pt>
                <c:pt idx="480">
                  <c:v>-1.6861434394367669E-2</c:v>
                </c:pt>
                <c:pt idx="481">
                  <c:v>-2.8147532578097309E-2</c:v>
                </c:pt>
                <c:pt idx="482">
                  <c:v>-3.0770383665441603E-2</c:v>
                </c:pt>
                <c:pt idx="483">
                  <c:v>-3.9957959380548823E-2</c:v>
                </c:pt>
                <c:pt idx="484">
                  <c:v>-3.956222049541238E-2</c:v>
                </c:pt>
                <c:pt idx="485">
                  <c:v>-2.522315129426116E-2</c:v>
                </c:pt>
                <c:pt idx="486">
                  <c:v>-3.4819689668556197E-2</c:v>
                </c:pt>
                <c:pt idx="487">
                  <c:v>-2.7379476688870405E-2</c:v>
                </c:pt>
                <c:pt idx="488">
                  <c:v>-2.9898285721287526E-2</c:v>
                </c:pt>
                <c:pt idx="489">
                  <c:v>-1.9379762994537971E-2</c:v>
                </c:pt>
                <c:pt idx="490">
                  <c:v>-7.9957365451999215E-3</c:v>
                </c:pt>
                <c:pt idx="491">
                  <c:v>1.2004102266490405E-3</c:v>
                </c:pt>
                <c:pt idx="492">
                  <c:v>5.6592447705941466E-3</c:v>
                </c:pt>
                <c:pt idx="493">
                  <c:v>2.4699247520155085E-3</c:v>
                </c:pt>
                <c:pt idx="494">
                  <c:v>8.5622945661523869E-3</c:v>
                </c:pt>
                <c:pt idx="495">
                  <c:v>6.0036308798265053E-3</c:v>
                </c:pt>
                <c:pt idx="496">
                  <c:v>2.2834925140592906E-3</c:v>
                </c:pt>
                <c:pt idx="497">
                  <c:v>-3.8190608187114736E-3</c:v>
                </c:pt>
                <c:pt idx="498">
                  <c:v>-1.4061964515743562E-3</c:v>
                </c:pt>
                <c:pt idx="499">
                  <c:v>-1.7997125202869568E-2</c:v>
                </c:pt>
                <c:pt idx="500">
                  <c:v>-2.6405300999451115E-2</c:v>
                </c:pt>
                <c:pt idx="501">
                  <c:v>-2.3991277222007161E-2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E9-4450-8C3D-A29F683DFA91}"/>
            </c:ext>
          </c:extLst>
        </c:ser>
        <c:ser>
          <c:idx val="1"/>
          <c:order val="1"/>
          <c:tx>
            <c:strRef>
              <c:f>Sheet1!$S$10</c:f>
              <c:strCache>
                <c:ptCount val="1"/>
                <c:pt idx="0">
                  <c:v>X_ab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Sheet1!$Q$11:$Q$512</c:f>
              <c:numCache>
                <c:formatCode>0.00</c:formatCode>
                <c:ptCount val="502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</c:numCache>
            </c:numRef>
          </c:xVal>
          <c:yVal>
            <c:numRef>
              <c:f>Sheet1!$S$11:$S$512</c:f>
              <c:numCache>
                <c:formatCode>0.0000</c:formatCode>
                <c:ptCount val="502"/>
                <c:pt idx="0">
                  <c:v>5</c:v>
                </c:pt>
                <c:pt idx="1">
                  <c:v>4.9978550510561286</c:v>
                </c:pt>
                <c:pt idx="2">
                  <c:v>4.9986293138305582</c:v>
                </c:pt>
                <c:pt idx="3">
                  <c:v>5.003847226851093</c:v>
                </c:pt>
                <c:pt idx="4">
                  <c:v>4.9931223447084436</c:v>
                </c:pt>
                <c:pt idx="5">
                  <c:v>4.9804425573147553</c:v>
                </c:pt>
                <c:pt idx="6">
                  <c:v>5.0035032289655597</c:v>
                </c:pt>
                <c:pt idx="7">
                  <c:v>5.0058905078487745</c:v>
                </c:pt>
                <c:pt idx="8">
                  <c:v>5.0197003582735693</c:v>
                </c:pt>
                <c:pt idx="9">
                  <c:v>5.0081370732687178</c:v>
                </c:pt>
                <c:pt idx="10">
                  <c:v>5.011283658349198</c:v>
                </c:pt>
                <c:pt idx="11">
                  <c:v>5.0104939321208688</c:v>
                </c:pt>
                <c:pt idx="12">
                  <c:v>5.0267901924887592</c:v>
                </c:pt>
                <c:pt idx="13">
                  <c:v>5.0262107421788302</c:v>
                </c:pt>
                <c:pt idx="14">
                  <c:v>5.018119004201659</c:v>
                </c:pt>
                <c:pt idx="15">
                  <c:v>5.0218647996347663</c:v>
                </c:pt>
                <c:pt idx="16">
                  <c:v>5.0117664813930221</c:v>
                </c:pt>
                <c:pt idx="17">
                  <c:v>5.0074974239669725</c:v>
                </c:pt>
                <c:pt idx="18">
                  <c:v>5.0157340953623697</c:v>
                </c:pt>
                <c:pt idx="19">
                  <c:v>5.0050215939763545</c:v>
                </c:pt>
                <c:pt idx="20">
                  <c:v>4.9983260443256112</c:v>
                </c:pt>
                <c:pt idx="21">
                  <c:v>4.9876372214585221</c:v>
                </c:pt>
                <c:pt idx="22">
                  <c:v>4.9984115463693843</c:v>
                </c:pt>
                <c:pt idx="23">
                  <c:v>5.0025693064765617</c:v>
                </c:pt>
                <c:pt idx="24">
                  <c:v>4.9995170368215112</c:v>
                </c:pt>
                <c:pt idx="25">
                  <c:v>5.0057977379362439</c:v>
                </c:pt>
                <c:pt idx="26">
                  <c:v>5.0190830610519548</c:v>
                </c:pt>
                <c:pt idx="27">
                  <c:v>5.0170144031188499</c:v>
                </c:pt>
                <c:pt idx="28">
                  <c:v>5.0184416025995535</c:v>
                </c:pt>
                <c:pt idx="29">
                  <c:v>5.0422966493518073</c:v>
                </c:pt>
                <c:pt idx="30">
                  <c:v>5.0616788898117537</c:v>
                </c:pt>
                <c:pt idx="31">
                  <c:v>5.0633327603397182</c:v>
                </c:pt>
                <c:pt idx="32">
                  <c:v>5.0819152618311154</c:v>
                </c:pt>
                <c:pt idx="33">
                  <c:v>5.0889159435890239</c:v>
                </c:pt>
                <c:pt idx="34">
                  <c:v>5.0997382621354292</c:v>
                </c:pt>
                <c:pt idx="35">
                  <c:v>5.0831822395655069</c:v>
                </c:pt>
                <c:pt idx="36">
                  <c:v>5.0967098888988653</c:v>
                </c:pt>
                <c:pt idx="37">
                  <c:v>5.1131949142480186</c:v>
                </c:pt>
                <c:pt idx="38">
                  <c:v>5.130731566854462</c:v>
                </c:pt>
                <c:pt idx="39">
                  <c:v>5.1298810210171322</c:v>
                </c:pt>
                <c:pt idx="40">
                  <c:v>5.130803142711291</c:v>
                </c:pt>
                <c:pt idx="41">
                  <c:v>5.1233210203302901</c:v>
                </c:pt>
                <c:pt idx="42">
                  <c:v>5.1377054805871811</c:v>
                </c:pt>
                <c:pt idx="43">
                  <c:v>5.1558847382827411</c:v>
                </c:pt>
                <c:pt idx="44">
                  <c:v>5.1426359940718456</c:v>
                </c:pt>
                <c:pt idx="45">
                  <c:v>5.1355089718147466</c:v>
                </c:pt>
                <c:pt idx="46">
                  <c:v>5.1397032193338568</c:v>
                </c:pt>
                <c:pt idx="47">
                  <c:v>5.1576988885835888</c:v>
                </c:pt>
                <c:pt idx="48">
                  <c:v>5.1469487702297947</c:v>
                </c:pt>
                <c:pt idx="49">
                  <c:v>5.1556207395105673</c:v>
                </c:pt>
                <c:pt idx="50">
                  <c:v>5.1513133954132</c:v>
                </c:pt>
                <c:pt idx="51">
                  <c:v>5.1485007167260015</c:v>
                </c:pt>
                <c:pt idx="52">
                  <c:v>5.1576409243053085</c:v>
                </c:pt>
                <c:pt idx="53">
                  <c:v>5.1539842457690757</c:v>
                </c:pt>
                <c:pt idx="54">
                  <c:v>5.1489546631731589</c:v>
                </c:pt>
                <c:pt idx="55">
                  <c:v>5.1529332517725912</c:v>
                </c:pt>
                <c:pt idx="56">
                  <c:v>5.1626309791175702</c:v>
                </c:pt>
                <c:pt idx="57">
                  <c:v>5.1716449995439282</c:v>
                </c:pt>
                <c:pt idx="58">
                  <c:v>5.1661871301736744</c:v>
                </c:pt>
                <c:pt idx="59">
                  <c:v>5.169217702615728</c:v>
                </c:pt>
                <c:pt idx="60">
                  <c:v>5.1758077158145266</c:v>
                </c:pt>
                <c:pt idx="61">
                  <c:v>5.1648991638503583</c:v>
                </c:pt>
                <c:pt idx="62">
                  <c:v>5.1802343123329493</c:v>
                </c:pt>
                <c:pt idx="63">
                  <c:v>5.1741915227086821</c:v>
                </c:pt>
                <c:pt idx="64">
                  <c:v>5.1808243942513439</c:v>
                </c:pt>
                <c:pt idx="65">
                  <c:v>5.1739407651125218</c:v>
                </c:pt>
                <c:pt idx="66">
                  <c:v>5.1793680136637654</c:v>
                </c:pt>
                <c:pt idx="67">
                  <c:v>5.1653848784333283</c:v>
                </c:pt>
                <c:pt idx="68">
                  <c:v>5.1766124233842641</c:v>
                </c:pt>
                <c:pt idx="69">
                  <c:v>5.1829869052427417</c:v>
                </c:pt>
                <c:pt idx="70">
                  <c:v>5.1900547404917026</c:v>
                </c:pt>
                <c:pt idx="71">
                  <c:v>5.1799362444969104</c:v>
                </c:pt>
                <c:pt idx="72">
                  <c:v>5.180658403335606</c:v>
                </c:pt>
                <c:pt idx="73">
                  <c:v>5.1895291458098995</c:v>
                </c:pt>
                <c:pt idx="74">
                  <c:v>5.1923019271518251</c:v>
                </c:pt>
                <c:pt idx="75">
                  <c:v>5.195401537693491</c:v>
                </c:pt>
                <c:pt idx="76">
                  <c:v>5.2034883583629128</c:v>
                </c:pt>
                <c:pt idx="77">
                  <c:v>5.2025243514185782</c:v>
                </c:pt>
                <c:pt idx="78">
                  <c:v>5.1978486384599423</c:v>
                </c:pt>
                <c:pt idx="79">
                  <c:v>5.2130043214177535</c:v>
                </c:pt>
                <c:pt idx="80">
                  <c:v>5.2129396817553575</c:v>
                </c:pt>
                <c:pt idx="81">
                  <c:v>5.188193182232216</c:v>
                </c:pt>
                <c:pt idx="82">
                  <c:v>5.1950713173939986</c:v>
                </c:pt>
                <c:pt idx="83">
                  <c:v>5.2238952439576183</c:v>
                </c:pt>
                <c:pt idx="84">
                  <c:v>5.2340831259623597</c:v>
                </c:pt>
                <c:pt idx="85">
                  <c:v>5.2344220402404664</c:v>
                </c:pt>
                <c:pt idx="86">
                  <c:v>5.2463245439771802</c:v>
                </c:pt>
                <c:pt idx="87">
                  <c:v>5.2665584501422771</c:v>
                </c:pt>
                <c:pt idx="88">
                  <c:v>5.2521800829598373</c:v>
                </c:pt>
                <c:pt idx="89">
                  <c:v>5.2498645011318992</c:v>
                </c:pt>
                <c:pt idx="90">
                  <c:v>5.2468218507918998</c:v>
                </c:pt>
                <c:pt idx="91">
                  <c:v>5.2624256521339188</c:v>
                </c:pt>
                <c:pt idx="92">
                  <c:v>5.2410702403283906</c:v>
                </c:pt>
                <c:pt idx="93">
                  <c:v>5.2406640067710519</c:v>
                </c:pt>
                <c:pt idx="94">
                  <c:v>5.2343372665576684</c:v>
                </c:pt>
                <c:pt idx="95">
                  <c:v>5.2365569633168771</c:v>
                </c:pt>
                <c:pt idx="96">
                  <c:v>5.2345443911411058</c:v>
                </c:pt>
                <c:pt idx="97">
                  <c:v>5.2350689222246611</c:v>
                </c:pt>
                <c:pt idx="98">
                  <c:v>5.2520428425471293</c:v>
                </c:pt>
                <c:pt idx="99">
                  <c:v>5.232037300889095</c:v>
                </c:pt>
                <c:pt idx="100">
                  <c:v>5.2099681389136752</c:v>
                </c:pt>
                <c:pt idx="101">
                  <c:v>5.2035702577504024</c:v>
                </c:pt>
                <c:pt idx="102">
                  <c:v>5.2021279450489875</c:v>
                </c:pt>
                <c:pt idx="103">
                  <c:v>5.2078252114898644</c:v>
                </c:pt>
                <c:pt idx="104">
                  <c:v>5.2104776452150983</c:v>
                </c:pt>
                <c:pt idx="105">
                  <c:v>5.2205000808114859</c:v>
                </c:pt>
                <c:pt idx="106">
                  <c:v>5.2364227114622146</c:v>
                </c:pt>
                <c:pt idx="107">
                  <c:v>5.2380040275856521</c:v>
                </c:pt>
                <c:pt idx="108">
                  <c:v>5.2531185165114209</c:v>
                </c:pt>
                <c:pt idx="109">
                  <c:v>5.2566104795656354</c:v>
                </c:pt>
                <c:pt idx="110">
                  <c:v>5.2559197748495947</c:v>
                </c:pt>
                <c:pt idx="111">
                  <c:v>5.2531690107069418</c:v>
                </c:pt>
                <c:pt idx="112">
                  <c:v>5.2833120138334442</c:v>
                </c:pt>
                <c:pt idx="113">
                  <c:v>5.2908777803578353</c:v>
                </c:pt>
                <c:pt idx="114">
                  <c:v>5.3087988166462434</c:v>
                </c:pt>
                <c:pt idx="115">
                  <c:v>5.3089811860132281</c:v>
                </c:pt>
                <c:pt idx="116">
                  <c:v>5.3212314332901398</c:v>
                </c:pt>
                <c:pt idx="117">
                  <c:v>5.3327860039729371</c:v>
                </c:pt>
                <c:pt idx="118">
                  <c:v>5.3149743456812768</c:v>
                </c:pt>
                <c:pt idx="119">
                  <c:v>5.3170464121951886</c:v>
                </c:pt>
                <c:pt idx="120">
                  <c:v>5.3004863099261739</c:v>
                </c:pt>
                <c:pt idx="121">
                  <c:v>5.3015287190989744</c:v>
                </c:pt>
                <c:pt idx="122">
                  <c:v>5.3148635092857104</c:v>
                </c:pt>
                <c:pt idx="123">
                  <c:v>5.3240513649244097</c:v>
                </c:pt>
                <c:pt idx="124">
                  <c:v>5.3166538628212168</c:v>
                </c:pt>
                <c:pt idx="125">
                  <c:v>5.3194864339838368</c:v>
                </c:pt>
                <c:pt idx="126">
                  <c:v>5.3208123970761987</c:v>
                </c:pt>
                <c:pt idx="127">
                  <c:v>5.2990270501797339</c:v>
                </c:pt>
                <c:pt idx="128">
                  <c:v>5.3027452849038514</c:v>
                </c:pt>
                <c:pt idx="129">
                  <c:v>5.3040400590420154</c:v>
                </c:pt>
                <c:pt idx="130">
                  <c:v>5.3115621161235236</c:v>
                </c:pt>
                <c:pt idx="131">
                  <c:v>5.3251809934335776</c:v>
                </c:pt>
                <c:pt idx="132">
                  <c:v>5.3237502649575674</c:v>
                </c:pt>
                <c:pt idx="133">
                  <c:v>5.3116980006715284</c:v>
                </c:pt>
                <c:pt idx="134">
                  <c:v>5.3125962015375476</c:v>
                </c:pt>
                <c:pt idx="135">
                  <c:v>5.2969007590203168</c:v>
                </c:pt>
                <c:pt idx="136">
                  <c:v>5.29103979611273</c:v>
                </c:pt>
                <c:pt idx="137">
                  <c:v>5.2942192049251986</c:v>
                </c:pt>
                <c:pt idx="138">
                  <c:v>5.2774891582334877</c:v>
                </c:pt>
                <c:pt idx="139">
                  <c:v>5.2927596863402693</c:v>
                </c:pt>
                <c:pt idx="140">
                  <c:v>5.2998587619575632</c:v>
                </c:pt>
                <c:pt idx="141">
                  <c:v>5.2924548826149742</c:v>
                </c:pt>
                <c:pt idx="142">
                  <c:v>5.2756638904222086</c:v>
                </c:pt>
                <c:pt idx="143">
                  <c:v>5.2836831506902273</c:v>
                </c:pt>
                <c:pt idx="144">
                  <c:v>5.2946885743296495</c:v>
                </c:pt>
                <c:pt idx="145">
                  <c:v>5.2993343103931405</c:v>
                </c:pt>
                <c:pt idx="146">
                  <c:v>5.2937341368268465</c:v>
                </c:pt>
                <c:pt idx="147">
                  <c:v>5.2945765438860013</c:v>
                </c:pt>
                <c:pt idx="148">
                  <c:v>5.3014973733910988</c:v>
                </c:pt>
                <c:pt idx="149">
                  <c:v>5.2958294621836917</c:v>
                </c:pt>
                <c:pt idx="150">
                  <c:v>5.299120753257248</c:v>
                </c:pt>
                <c:pt idx="151">
                  <c:v>5.2940025765909864</c:v>
                </c:pt>
                <c:pt idx="152">
                  <c:v>5.3046357440095022</c:v>
                </c:pt>
                <c:pt idx="153">
                  <c:v>5.3086167304823677</c:v>
                </c:pt>
                <c:pt idx="154">
                  <c:v>5.3039839175013634</c:v>
                </c:pt>
                <c:pt idx="155">
                  <c:v>5.2956743142513591</c:v>
                </c:pt>
                <c:pt idx="156">
                  <c:v>5.2994086945904639</c:v>
                </c:pt>
                <c:pt idx="157">
                  <c:v>5.3087248870932227</c:v>
                </c:pt>
                <c:pt idx="158">
                  <c:v>5.3021127337726375</c:v>
                </c:pt>
                <c:pt idx="159">
                  <c:v>5.2890087996269859</c:v>
                </c:pt>
                <c:pt idx="160">
                  <c:v>5.2892563484379762</c:v>
                </c:pt>
                <c:pt idx="161">
                  <c:v>5.2878007536778231</c:v>
                </c:pt>
                <c:pt idx="162">
                  <c:v>5.2989431777578879</c:v>
                </c:pt>
                <c:pt idx="163">
                  <c:v>5.3041633921017013</c:v>
                </c:pt>
                <c:pt idx="164">
                  <c:v>5.3072409049948597</c:v>
                </c:pt>
                <c:pt idx="165">
                  <c:v>5.299725379603669</c:v>
                </c:pt>
                <c:pt idx="166">
                  <c:v>5.2971527983229532</c:v>
                </c:pt>
                <c:pt idx="167">
                  <c:v>5.2849997236418469</c:v>
                </c:pt>
                <c:pt idx="168">
                  <c:v>5.2945788273827645</c:v>
                </c:pt>
                <c:pt idx="169">
                  <c:v>5.2989704560055308</c:v>
                </c:pt>
                <c:pt idx="170">
                  <c:v>5.3037604530870981</c:v>
                </c:pt>
                <c:pt idx="171">
                  <c:v>5.3033374176601633</c:v>
                </c:pt>
                <c:pt idx="172">
                  <c:v>5.2941813698699507</c:v>
                </c:pt>
                <c:pt idx="173">
                  <c:v>5.2828065633536356</c:v>
                </c:pt>
                <c:pt idx="174">
                  <c:v>5.2879667926938589</c:v>
                </c:pt>
                <c:pt idx="175">
                  <c:v>5.2866951765295678</c:v>
                </c:pt>
                <c:pt idx="176">
                  <c:v>5.2877793889809999</c:v>
                </c:pt>
                <c:pt idx="177">
                  <c:v>5.2880892216696749</c:v>
                </c:pt>
                <c:pt idx="178">
                  <c:v>5.2996594527402232</c:v>
                </c:pt>
                <c:pt idx="179">
                  <c:v>5.3176009526194994</c:v>
                </c:pt>
                <c:pt idx="180">
                  <c:v>5.3201896734465031</c:v>
                </c:pt>
                <c:pt idx="181">
                  <c:v>5.3254452000541592</c:v>
                </c:pt>
                <c:pt idx="182">
                  <c:v>5.3138449435223567</c:v>
                </c:pt>
                <c:pt idx="183">
                  <c:v>5.301928405988706</c:v>
                </c:pt>
                <c:pt idx="184">
                  <c:v>5.3183847029508131</c:v>
                </c:pt>
                <c:pt idx="185">
                  <c:v>5.3098892755694003</c:v>
                </c:pt>
                <c:pt idx="186">
                  <c:v>5.3266718679981526</c:v>
                </c:pt>
                <c:pt idx="187">
                  <c:v>5.3280704048163958</c:v>
                </c:pt>
                <c:pt idx="188">
                  <c:v>5.3192194630096381</c:v>
                </c:pt>
                <c:pt idx="189">
                  <c:v>5.3195627089199835</c:v>
                </c:pt>
                <c:pt idx="190">
                  <c:v>5.322625448174672</c:v>
                </c:pt>
                <c:pt idx="191">
                  <c:v>5.3383904235336486</c:v>
                </c:pt>
                <c:pt idx="192">
                  <c:v>5.3495362876391486</c:v>
                </c:pt>
                <c:pt idx="193">
                  <c:v>5.3507850443446685</c:v>
                </c:pt>
                <c:pt idx="194">
                  <c:v>5.3409783461772316</c:v>
                </c:pt>
                <c:pt idx="195">
                  <c:v>5.3328373806521814</c:v>
                </c:pt>
                <c:pt idx="196">
                  <c:v>5.3175208168615855</c:v>
                </c:pt>
                <c:pt idx="197">
                  <c:v>5.3245244068179565</c:v>
                </c:pt>
                <c:pt idx="198">
                  <c:v>5.3201416104973491</c:v>
                </c:pt>
                <c:pt idx="199">
                  <c:v>5.325495919908696</c:v>
                </c:pt>
                <c:pt idx="200">
                  <c:v>5.3296482544797614</c:v>
                </c:pt>
                <c:pt idx="201">
                  <c:v>5.3195371305995378</c:v>
                </c:pt>
                <c:pt idx="202">
                  <c:v>5.3233871149145591</c:v>
                </c:pt>
                <c:pt idx="203">
                  <c:v>5.3260291415940726</c:v>
                </c:pt>
                <c:pt idx="204">
                  <c:v>5.3232361468445122</c:v>
                </c:pt>
                <c:pt idx="205">
                  <c:v>5.3220137506633227</c:v>
                </c:pt>
                <c:pt idx="206">
                  <c:v>5.3179112144877241</c:v>
                </c:pt>
                <c:pt idx="207">
                  <c:v>5.3335780949953788</c:v>
                </c:pt>
                <c:pt idx="208">
                  <c:v>5.3528653551904206</c:v>
                </c:pt>
                <c:pt idx="209">
                  <c:v>5.3584230728029159</c:v>
                </c:pt>
                <c:pt idx="210">
                  <c:v>5.3642551774011986</c:v>
                </c:pt>
                <c:pt idx="211">
                  <c:v>5.3666787798359561</c:v>
                </c:pt>
                <c:pt idx="212">
                  <c:v>5.3891439915691279</c:v>
                </c:pt>
                <c:pt idx="213">
                  <c:v>5.4037973449393242</c:v>
                </c:pt>
                <c:pt idx="214">
                  <c:v>5.4105196867839167</c:v>
                </c:pt>
                <c:pt idx="215">
                  <c:v>5.4120775250220321</c:v>
                </c:pt>
                <c:pt idx="216">
                  <c:v>5.4132607721097097</c:v>
                </c:pt>
                <c:pt idx="217">
                  <c:v>5.4187034470825974</c:v>
                </c:pt>
                <c:pt idx="218">
                  <c:v>5.4059226457526215</c:v>
                </c:pt>
                <c:pt idx="219">
                  <c:v>5.420601787631802</c:v>
                </c:pt>
                <c:pt idx="220">
                  <c:v>5.4179991957164084</c:v>
                </c:pt>
                <c:pt idx="221">
                  <c:v>5.4341786678063819</c:v>
                </c:pt>
                <c:pt idx="222">
                  <c:v>5.4259990045759086</c:v>
                </c:pt>
                <c:pt idx="223">
                  <c:v>5.4342021376436058</c:v>
                </c:pt>
                <c:pt idx="224">
                  <c:v>5.4501113547499438</c:v>
                </c:pt>
                <c:pt idx="225">
                  <c:v>5.4589742792076015</c:v>
                </c:pt>
                <c:pt idx="226">
                  <c:v>5.4492745088480117</c:v>
                </c:pt>
                <c:pt idx="227">
                  <c:v>5.4434987053337371</c:v>
                </c:pt>
                <c:pt idx="228">
                  <c:v>5.4538860974559675</c:v>
                </c:pt>
                <c:pt idx="229">
                  <c:v>5.4701711745667421</c:v>
                </c:pt>
                <c:pt idx="230">
                  <c:v>5.4740927385349361</c:v>
                </c:pt>
                <c:pt idx="231">
                  <c:v>5.4668515892396679</c:v>
                </c:pt>
                <c:pt idx="232">
                  <c:v>5.465719196752282</c:v>
                </c:pt>
                <c:pt idx="233">
                  <c:v>5.455083101326144</c:v>
                </c:pt>
                <c:pt idx="234">
                  <c:v>5.4590829093172797</c:v>
                </c:pt>
                <c:pt idx="235">
                  <c:v>5.4504968598750656</c:v>
                </c:pt>
                <c:pt idx="236">
                  <c:v>5.4494698445085499</c:v>
                </c:pt>
                <c:pt idx="237">
                  <c:v>5.442714586314894</c:v>
                </c:pt>
                <c:pt idx="238">
                  <c:v>5.4362509491942275</c:v>
                </c:pt>
                <c:pt idx="239">
                  <c:v>5.4500348985566234</c:v>
                </c:pt>
                <c:pt idx="240">
                  <c:v>5.4575862170644491</c:v>
                </c:pt>
                <c:pt idx="241">
                  <c:v>5.4609681123419715</c:v>
                </c:pt>
                <c:pt idx="242">
                  <c:v>5.4726371544998065</c:v>
                </c:pt>
                <c:pt idx="243">
                  <c:v>5.466977448914343</c:v>
                </c:pt>
                <c:pt idx="244">
                  <c:v>5.4667099808404416</c:v>
                </c:pt>
                <c:pt idx="245">
                  <c:v>5.4585333007095231</c:v>
                </c:pt>
                <c:pt idx="246">
                  <c:v>5.445839312492776</c:v>
                </c:pt>
                <c:pt idx="247">
                  <c:v>5.4637782706397147</c:v>
                </c:pt>
                <c:pt idx="248">
                  <c:v>5.4453705518305151</c:v>
                </c:pt>
                <c:pt idx="249">
                  <c:v>5.4445782642132903</c:v>
                </c:pt>
                <c:pt idx="250">
                  <c:v>5.4421083296060839</c:v>
                </c:pt>
                <c:pt idx="251">
                  <c:v>5.4653604799067503</c:v>
                </c:pt>
                <c:pt idx="252">
                  <c:v>5.4732330140546148</c:v>
                </c:pt>
                <c:pt idx="253">
                  <c:v>5.4575722409744722</c:v>
                </c:pt>
                <c:pt idx="254">
                  <c:v>5.4727742598165285</c:v>
                </c:pt>
                <c:pt idx="255">
                  <c:v>5.4933886053347125</c:v>
                </c:pt>
                <c:pt idx="256">
                  <c:v>5.4772104033050342</c:v>
                </c:pt>
                <c:pt idx="257">
                  <c:v>5.4736772464449128</c:v>
                </c:pt>
                <c:pt idx="258">
                  <c:v>5.4707362270330515</c:v>
                </c:pt>
                <c:pt idx="259">
                  <c:v>5.4803676654019631</c:v>
                </c:pt>
                <c:pt idx="260">
                  <c:v>5.4868055681260675</c:v>
                </c:pt>
                <c:pt idx="261">
                  <c:v>5.4759672477666292</c:v>
                </c:pt>
                <c:pt idx="262">
                  <c:v>5.4819982151793036</c:v>
                </c:pt>
                <c:pt idx="263">
                  <c:v>5.4984285391423739</c:v>
                </c:pt>
                <c:pt idx="264">
                  <c:v>5.5227973130398968</c:v>
                </c:pt>
                <c:pt idx="265">
                  <c:v>5.52873053482889</c:v>
                </c:pt>
                <c:pt idx="266">
                  <c:v>5.5296351904509908</c:v>
                </c:pt>
                <c:pt idx="267">
                  <c:v>5.5066170649488928</c:v>
                </c:pt>
                <c:pt idx="268">
                  <c:v>5.518678986075165</c:v>
                </c:pt>
                <c:pt idx="269">
                  <c:v>5.5372696029578661</c:v>
                </c:pt>
                <c:pt idx="270">
                  <c:v>5.540439449816537</c:v>
                </c:pt>
                <c:pt idx="271">
                  <c:v>5.5512850456830876</c:v>
                </c:pt>
                <c:pt idx="272">
                  <c:v>5.5506360919502837</c:v>
                </c:pt>
                <c:pt idx="273">
                  <c:v>5.5703628622792083</c:v>
                </c:pt>
                <c:pt idx="274">
                  <c:v>5.5848232454319486</c:v>
                </c:pt>
                <c:pt idx="275">
                  <c:v>5.5903579648426218</c:v>
                </c:pt>
                <c:pt idx="276">
                  <c:v>5.6110526413257107</c:v>
                </c:pt>
                <c:pt idx="277">
                  <c:v>5.6384379802262039</c:v>
                </c:pt>
                <c:pt idx="278">
                  <c:v>5.6245772853216804</c:v>
                </c:pt>
                <c:pt idx="279">
                  <c:v>5.6239431063190919</c:v>
                </c:pt>
                <c:pt idx="280">
                  <c:v>5.6127483972732621</c:v>
                </c:pt>
                <c:pt idx="281">
                  <c:v>5.5960911120415631</c:v>
                </c:pt>
                <c:pt idx="282">
                  <c:v>5.6129833168551135</c:v>
                </c:pt>
                <c:pt idx="283">
                  <c:v>5.6183176689519385</c:v>
                </c:pt>
                <c:pt idx="284">
                  <c:v>5.6186630515369362</c:v>
                </c:pt>
                <c:pt idx="285">
                  <c:v>5.6180503250987934</c:v>
                </c:pt>
                <c:pt idx="286">
                  <c:v>5.6029670404360195</c:v>
                </c:pt>
                <c:pt idx="287">
                  <c:v>5.6212960044515334</c:v>
                </c:pt>
                <c:pt idx="288">
                  <c:v>5.6336842513671916</c:v>
                </c:pt>
                <c:pt idx="289">
                  <c:v>5.6437463250289026</c:v>
                </c:pt>
                <c:pt idx="290">
                  <c:v>5.6410362741148248</c:v>
                </c:pt>
                <c:pt idx="291">
                  <c:v>5.6355679296984897</c:v>
                </c:pt>
                <c:pt idx="292">
                  <c:v>5.6284274628931561</c:v>
                </c:pt>
                <c:pt idx="293">
                  <c:v>5.6286354105201264</c:v>
                </c:pt>
                <c:pt idx="294">
                  <c:v>5.6403104716377674</c:v>
                </c:pt>
                <c:pt idx="295">
                  <c:v>5.6510397104522401</c:v>
                </c:pt>
                <c:pt idx="296">
                  <c:v>5.649925509486855</c:v>
                </c:pt>
                <c:pt idx="297">
                  <c:v>5.658267189171907</c:v>
                </c:pt>
                <c:pt idx="298">
                  <c:v>5.6763855868161803</c:v>
                </c:pt>
                <c:pt idx="299">
                  <c:v>5.6903097059854746</c:v>
                </c:pt>
                <c:pt idx="300">
                  <c:v>5.7031818466209181</c:v>
                </c:pt>
                <c:pt idx="301">
                  <c:v>5.7148489218113587</c:v>
                </c:pt>
                <c:pt idx="302">
                  <c:v>5.7219235535398134</c:v>
                </c:pt>
                <c:pt idx="303">
                  <c:v>5.7260434009708332</c:v>
                </c:pt>
                <c:pt idx="304">
                  <c:v>5.7214350282661508</c:v>
                </c:pt>
                <c:pt idx="305">
                  <c:v>5.7259103115838954</c:v>
                </c:pt>
                <c:pt idx="306">
                  <c:v>5.756541730256969</c:v>
                </c:pt>
                <c:pt idx="307">
                  <c:v>5.7596803213154377</c:v>
                </c:pt>
                <c:pt idx="308">
                  <c:v>5.7720938765473102</c:v>
                </c:pt>
                <c:pt idx="309">
                  <c:v>5.8101538695795378</c:v>
                </c:pt>
                <c:pt idx="310">
                  <c:v>5.8052002416042932</c:v>
                </c:pt>
                <c:pt idx="311">
                  <c:v>5.8135604995575196</c:v>
                </c:pt>
                <c:pt idx="312">
                  <c:v>5.831473055227077</c:v>
                </c:pt>
                <c:pt idx="313">
                  <c:v>5.8393370483587308</c:v>
                </c:pt>
                <c:pt idx="314">
                  <c:v>5.8412554272439943</c:v>
                </c:pt>
                <c:pt idx="315">
                  <c:v>5.8419744459479865</c:v>
                </c:pt>
                <c:pt idx="316">
                  <c:v>5.8344205365562702</c:v>
                </c:pt>
                <c:pt idx="317">
                  <c:v>5.8406599188636124</c:v>
                </c:pt>
                <c:pt idx="318">
                  <c:v>5.8490058971531962</c:v>
                </c:pt>
                <c:pt idx="319">
                  <c:v>5.8503563585871978</c:v>
                </c:pt>
                <c:pt idx="320">
                  <c:v>5.8470612777186259</c:v>
                </c:pt>
                <c:pt idx="321">
                  <c:v>5.8462965957106139</c:v>
                </c:pt>
                <c:pt idx="322">
                  <c:v>5.8604291626460769</c:v>
                </c:pt>
                <c:pt idx="323">
                  <c:v>5.8498628627920839</c:v>
                </c:pt>
                <c:pt idx="324">
                  <c:v>5.8726805119844121</c:v>
                </c:pt>
                <c:pt idx="325">
                  <c:v>5.8922151454585787</c:v>
                </c:pt>
                <c:pt idx="326">
                  <c:v>5.9143396506857542</c:v>
                </c:pt>
                <c:pt idx="327">
                  <c:v>5.9142514301044296</c:v>
                </c:pt>
                <c:pt idx="328">
                  <c:v>5.9310482390502859</c:v>
                </c:pt>
                <c:pt idx="329">
                  <c:v>5.9209386104860844</c:v>
                </c:pt>
                <c:pt idx="330">
                  <c:v>5.9223032042136587</c:v>
                </c:pt>
                <c:pt idx="331">
                  <c:v>5.9541612506908876</c:v>
                </c:pt>
                <c:pt idx="332">
                  <c:v>5.9597497919263862</c:v>
                </c:pt>
                <c:pt idx="333">
                  <c:v>5.9664312541224591</c:v>
                </c:pt>
                <c:pt idx="334">
                  <c:v>5.9778909648911815</c:v>
                </c:pt>
                <c:pt idx="335">
                  <c:v>5.9707499398782673</c:v>
                </c:pt>
                <c:pt idx="336">
                  <c:v>5.9683998342415014</c:v>
                </c:pt>
                <c:pt idx="337">
                  <c:v>5.9743005583718061</c:v>
                </c:pt>
                <c:pt idx="338">
                  <c:v>5.9716001322211563</c:v>
                </c:pt>
                <c:pt idx="339">
                  <c:v>5.9753318872965835</c:v>
                </c:pt>
                <c:pt idx="340">
                  <c:v>5.9814122424856073</c:v>
                </c:pt>
                <c:pt idx="341">
                  <c:v>5.9809260224681164</c:v>
                </c:pt>
                <c:pt idx="342">
                  <c:v>5.9640612207473511</c:v>
                </c:pt>
                <c:pt idx="343">
                  <c:v>5.9672919961283863</c:v>
                </c:pt>
                <c:pt idx="344">
                  <c:v>5.9693267830424608</c:v>
                </c:pt>
                <c:pt idx="345">
                  <c:v>5.9668264334130177</c:v>
                </c:pt>
                <c:pt idx="346">
                  <c:v>5.9779084244642382</c:v>
                </c:pt>
                <c:pt idx="347">
                  <c:v>5.9954046436591977</c:v>
                </c:pt>
                <c:pt idx="348">
                  <c:v>5.9868068932721785</c:v>
                </c:pt>
                <c:pt idx="349">
                  <c:v>6.0033784898612614</c:v>
                </c:pt>
                <c:pt idx="350">
                  <c:v>6.0100880730137769</c:v>
                </c:pt>
                <c:pt idx="351">
                  <c:v>6.0071272015072301</c:v>
                </c:pt>
                <c:pt idx="352">
                  <c:v>6.0002796455301413</c:v>
                </c:pt>
                <c:pt idx="353">
                  <c:v>5.9969002935365685</c:v>
                </c:pt>
                <c:pt idx="354">
                  <c:v>6.0036459570531884</c:v>
                </c:pt>
                <c:pt idx="355">
                  <c:v>6.0140488452296754</c:v>
                </c:pt>
                <c:pt idx="356">
                  <c:v>6.0310740246167471</c:v>
                </c:pt>
                <c:pt idx="357">
                  <c:v>6.0499544479238248</c:v>
                </c:pt>
                <c:pt idx="358">
                  <c:v>6.0788968296067845</c:v>
                </c:pt>
                <c:pt idx="359">
                  <c:v>6.0518077420779974</c:v>
                </c:pt>
                <c:pt idx="360">
                  <c:v>6.0475656007753615</c:v>
                </c:pt>
                <c:pt idx="361">
                  <c:v>6.0490152450990147</c:v>
                </c:pt>
                <c:pt idx="362">
                  <c:v>6.0500806997267764</c:v>
                </c:pt>
                <c:pt idx="363">
                  <c:v>6.0617085042624828</c:v>
                </c:pt>
                <c:pt idx="364">
                  <c:v>6.0668927613313643</c:v>
                </c:pt>
                <c:pt idx="365">
                  <c:v>6.086275277732045</c:v>
                </c:pt>
                <c:pt idx="366">
                  <c:v>6.0915117032458008</c:v>
                </c:pt>
                <c:pt idx="367">
                  <c:v>6.0789994741600113</c:v>
                </c:pt>
                <c:pt idx="368">
                  <c:v>6.0974142796668103</c:v>
                </c:pt>
                <c:pt idx="369">
                  <c:v>6.1141237414530778</c:v>
                </c:pt>
                <c:pt idx="370">
                  <c:v>6.1274985241448165</c:v>
                </c:pt>
                <c:pt idx="371">
                  <c:v>6.1210642046468733</c:v>
                </c:pt>
                <c:pt idx="372">
                  <c:v>6.1221256055269935</c:v>
                </c:pt>
                <c:pt idx="373">
                  <c:v>6.1048182009622787</c:v>
                </c:pt>
                <c:pt idx="374">
                  <c:v>6.1032443332277291</c:v>
                </c:pt>
                <c:pt idx="375">
                  <c:v>6.0927836794870167</c:v>
                </c:pt>
                <c:pt idx="376">
                  <c:v>6.095355015187903</c:v>
                </c:pt>
                <c:pt idx="377">
                  <c:v>6.0866149390406195</c:v>
                </c:pt>
                <c:pt idx="378">
                  <c:v>6.0776763379489909</c:v>
                </c:pt>
                <c:pt idx="379">
                  <c:v>6.081881252703333</c:v>
                </c:pt>
                <c:pt idx="380">
                  <c:v>6.0980709933906816</c:v>
                </c:pt>
                <c:pt idx="381">
                  <c:v>6.1023367286241168</c:v>
                </c:pt>
                <c:pt idx="382">
                  <c:v>6.1108041234300625</c:v>
                </c:pt>
                <c:pt idx="383">
                  <c:v>6.1102631920778698</c:v>
                </c:pt>
                <c:pt idx="384">
                  <c:v>6.1169772775340103</c:v>
                </c:pt>
                <c:pt idx="385">
                  <c:v>6.1108253163386586</c:v>
                </c:pt>
                <c:pt idx="386">
                  <c:v>6.1150615462319751</c:v>
                </c:pt>
                <c:pt idx="387">
                  <c:v>6.1111169154942386</c:v>
                </c:pt>
                <c:pt idx="388">
                  <c:v>6.1263674948524942</c:v>
                </c:pt>
                <c:pt idx="389">
                  <c:v>6.12393551960945</c:v>
                </c:pt>
                <c:pt idx="390">
                  <c:v>6.125293551446279</c:v>
                </c:pt>
                <c:pt idx="391">
                  <c:v>6.127473682658966</c:v>
                </c:pt>
                <c:pt idx="392">
                  <c:v>6.1213496556978697</c:v>
                </c:pt>
                <c:pt idx="393">
                  <c:v>6.1342807668619903</c:v>
                </c:pt>
                <c:pt idx="394">
                  <c:v>6.141942574403096</c:v>
                </c:pt>
                <c:pt idx="395">
                  <c:v>6.1386418850683864</c:v>
                </c:pt>
                <c:pt idx="396">
                  <c:v>6.1265041230935005</c:v>
                </c:pt>
                <c:pt idx="397">
                  <c:v>6.1333282639625173</c:v>
                </c:pt>
                <c:pt idx="398">
                  <c:v>6.106005697629084</c:v>
                </c:pt>
                <c:pt idx="399">
                  <c:v>6.1107561231206828</c:v>
                </c:pt>
                <c:pt idx="400">
                  <c:v>6.1247239711935322</c:v>
                </c:pt>
                <c:pt idx="401">
                  <c:v>6.120889198842403</c:v>
                </c:pt>
                <c:pt idx="402">
                  <c:v>6.134973695294974</c:v>
                </c:pt>
                <c:pt idx="403">
                  <c:v>6.1489064215679488</c:v>
                </c:pt>
                <c:pt idx="404">
                  <c:v>6.1522894294240791</c:v>
                </c:pt>
                <c:pt idx="405">
                  <c:v>6.1453930145152826</c:v>
                </c:pt>
                <c:pt idx="406">
                  <c:v>6.1326155249897898</c:v>
                </c:pt>
                <c:pt idx="407">
                  <c:v>6.1269600712023182</c:v>
                </c:pt>
                <c:pt idx="408">
                  <c:v>6.1398744048136882</c:v>
                </c:pt>
                <c:pt idx="409">
                  <c:v>6.138014807738899</c:v>
                </c:pt>
                <c:pt idx="410">
                  <c:v>6.1398095207935208</c:v>
                </c:pt>
                <c:pt idx="411">
                  <c:v>6.1560712752526481</c:v>
                </c:pt>
                <c:pt idx="412">
                  <c:v>6.1588690098104006</c:v>
                </c:pt>
                <c:pt idx="413">
                  <c:v>6.1718058540909446</c:v>
                </c:pt>
                <c:pt idx="414">
                  <c:v>6.1566166424521001</c:v>
                </c:pt>
                <c:pt idx="415">
                  <c:v>6.162506668772826</c:v>
                </c:pt>
                <c:pt idx="416">
                  <c:v>6.155750707743767</c:v>
                </c:pt>
                <c:pt idx="417">
                  <c:v>6.1443437080734986</c:v>
                </c:pt>
                <c:pt idx="418">
                  <c:v>6.1664740029912251</c:v>
                </c:pt>
                <c:pt idx="419">
                  <c:v>6.1626265529264765</c:v>
                </c:pt>
                <c:pt idx="420">
                  <c:v>6.1618404664335547</c:v>
                </c:pt>
                <c:pt idx="421">
                  <c:v>6.1683644156332571</c:v>
                </c:pt>
                <c:pt idx="422">
                  <c:v>6.162011747231027</c:v>
                </c:pt>
                <c:pt idx="423">
                  <c:v>6.1503996997056447</c:v>
                </c:pt>
                <c:pt idx="424">
                  <c:v>6.1759054211081787</c:v>
                </c:pt>
                <c:pt idx="425">
                  <c:v>6.1801147722828373</c:v>
                </c:pt>
                <c:pt idx="426">
                  <c:v>6.1757610177370879</c:v>
                </c:pt>
                <c:pt idx="427">
                  <c:v>6.1781932054835513</c:v>
                </c:pt>
                <c:pt idx="428">
                  <c:v>6.1783662686008114</c:v>
                </c:pt>
                <c:pt idx="429">
                  <c:v>6.1883974058168842</c:v>
                </c:pt>
                <c:pt idx="430">
                  <c:v>6.1922792471572237</c:v>
                </c:pt>
                <c:pt idx="431">
                  <c:v>6.1920849137702811</c:v>
                </c:pt>
                <c:pt idx="432">
                  <c:v>6.2044653275473074</c:v>
                </c:pt>
                <c:pt idx="433">
                  <c:v>6.2194556710941704</c:v>
                </c:pt>
                <c:pt idx="434">
                  <c:v>6.2008600697393463</c:v>
                </c:pt>
                <c:pt idx="435">
                  <c:v>6.2008030759940178</c:v>
                </c:pt>
                <c:pt idx="436">
                  <c:v>6.2013486856825644</c:v>
                </c:pt>
                <c:pt idx="437">
                  <c:v>6.2178446475860456</c:v>
                </c:pt>
                <c:pt idx="438">
                  <c:v>6.2186090871722808</c:v>
                </c:pt>
                <c:pt idx="439">
                  <c:v>6.2156426358482646</c:v>
                </c:pt>
                <c:pt idx="440">
                  <c:v>6.2271993186760115</c:v>
                </c:pt>
                <c:pt idx="441">
                  <c:v>6.2250881927779256</c:v>
                </c:pt>
                <c:pt idx="442">
                  <c:v>6.223552201744516</c:v>
                </c:pt>
                <c:pt idx="443">
                  <c:v>6.2345087413744844</c:v>
                </c:pt>
                <c:pt idx="444">
                  <c:v>6.2194455928251502</c:v>
                </c:pt>
                <c:pt idx="445">
                  <c:v>6.2284965053295647</c:v>
                </c:pt>
                <c:pt idx="446">
                  <c:v>6.2403924290443946</c:v>
                </c:pt>
                <c:pt idx="447">
                  <c:v>6.2529827554872757</c:v>
                </c:pt>
                <c:pt idx="448">
                  <c:v>6.2510261396653739</c:v>
                </c:pt>
                <c:pt idx="449">
                  <c:v>6.2360825590633917</c:v>
                </c:pt>
                <c:pt idx="450">
                  <c:v>6.240132096967649</c:v>
                </c:pt>
                <c:pt idx="451">
                  <c:v>6.250769105963375</c:v>
                </c:pt>
                <c:pt idx="452">
                  <c:v>6.2686392467209533</c:v>
                </c:pt>
                <c:pt idx="453">
                  <c:v>6.260298398968402</c:v>
                </c:pt>
                <c:pt idx="454">
                  <c:v>6.2666378159465284</c:v>
                </c:pt>
                <c:pt idx="455">
                  <c:v>6.2520953310652132</c:v>
                </c:pt>
                <c:pt idx="456">
                  <c:v>6.2432031111168165</c:v>
                </c:pt>
                <c:pt idx="457">
                  <c:v>6.2535488301434876</c:v>
                </c:pt>
                <c:pt idx="458">
                  <c:v>6.2796483235130678</c:v>
                </c:pt>
                <c:pt idx="459">
                  <c:v>6.2628231164115995</c:v>
                </c:pt>
                <c:pt idx="460">
                  <c:v>6.2650063543079986</c:v>
                </c:pt>
                <c:pt idx="461">
                  <c:v>6.2741038851742923</c:v>
                </c:pt>
                <c:pt idx="462">
                  <c:v>6.2703572660558216</c:v>
                </c:pt>
                <c:pt idx="463">
                  <c:v>6.268712789175769</c:v>
                </c:pt>
                <c:pt idx="464">
                  <c:v>6.257039685014421</c:v>
                </c:pt>
                <c:pt idx="465">
                  <c:v>6.273456745390793</c:v>
                </c:pt>
                <c:pt idx="466">
                  <c:v>6.2801773885363605</c:v>
                </c:pt>
                <c:pt idx="467">
                  <c:v>6.2874345437201615</c:v>
                </c:pt>
                <c:pt idx="468">
                  <c:v>6.3118731565153627</c:v>
                </c:pt>
                <c:pt idx="469">
                  <c:v>6.3284413955873555</c:v>
                </c:pt>
                <c:pt idx="470">
                  <c:v>6.3251783014021514</c:v>
                </c:pt>
                <c:pt idx="471">
                  <c:v>6.3038163238255471</c:v>
                </c:pt>
                <c:pt idx="472">
                  <c:v>6.3085037960754917</c:v>
                </c:pt>
                <c:pt idx="473">
                  <c:v>6.3136335104619148</c:v>
                </c:pt>
                <c:pt idx="474">
                  <c:v>6.3076111899566882</c:v>
                </c:pt>
                <c:pt idx="475">
                  <c:v>6.3062150780916184</c:v>
                </c:pt>
                <c:pt idx="476">
                  <c:v>6.3185669359943741</c:v>
                </c:pt>
                <c:pt idx="477">
                  <c:v>6.3059461327715089</c:v>
                </c:pt>
                <c:pt idx="478">
                  <c:v>6.2922333380688285</c:v>
                </c:pt>
                <c:pt idx="479">
                  <c:v>6.2912811038011167</c:v>
                </c:pt>
                <c:pt idx="480">
                  <c:v>6.3020355965065891</c:v>
                </c:pt>
                <c:pt idx="481">
                  <c:v>6.2915633548834222</c:v>
                </c:pt>
                <c:pt idx="482">
                  <c:v>6.2886257505382686</c:v>
                </c:pt>
                <c:pt idx="483">
                  <c:v>6.2788611364566176</c:v>
                </c:pt>
                <c:pt idx="484">
                  <c:v>6.2777610794036995</c:v>
                </c:pt>
                <c:pt idx="485">
                  <c:v>6.2906439265553091</c:v>
                </c:pt>
                <c:pt idx="486">
                  <c:v>6.2810250730515884</c:v>
                </c:pt>
                <c:pt idx="487">
                  <c:v>6.2874833170644182</c:v>
                </c:pt>
                <c:pt idx="488">
                  <c:v>6.2847265603631142</c:v>
                </c:pt>
                <c:pt idx="489">
                  <c:v>6.2947552545177352</c:v>
                </c:pt>
                <c:pt idx="490">
                  <c:v>6.3067013046676195</c:v>
                </c:pt>
                <c:pt idx="491">
                  <c:v>6.3175978777849489</c:v>
                </c:pt>
                <c:pt idx="492">
                  <c:v>6.3246767533515591</c:v>
                </c:pt>
                <c:pt idx="493">
                  <c:v>6.3245533578100401</c:v>
                </c:pt>
                <c:pt idx="494">
                  <c:v>6.3333927200993783</c:v>
                </c:pt>
                <c:pt idx="495">
                  <c:v>6.3341902858696679</c:v>
                </c:pt>
                <c:pt idx="496">
                  <c:v>6.3335705105918834</c:v>
                </c:pt>
                <c:pt idx="497">
                  <c:v>6.3301963065105182</c:v>
                </c:pt>
                <c:pt idx="498">
                  <c:v>6.3347272647957844</c:v>
                </c:pt>
                <c:pt idx="499">
                  <c:v>6.3204957163993321</c:v>
                </c:pt>
                <c:pt idx="500">
                  <c:v>6.3127878280824632</c:v>
                </c:pt>
                <c:pt idx="501">
                  <c:v>6.3150613217599618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E9-4450-8C3D-A29F683DFA91}"/>
            </c:ext>
          </c:extLst>
        </c:ser>
        <c:ser>
          <c:idx val="2"/>
          <c:order val="2"/>
          <c:tx>
            <c:strRef>
              <c:f>Sheet1!$T$10</c:f>
              <c:strCache>
                <c:ptCount val="1"/>
                <c:pt idx="0">
                  <c:v>X_gb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Sheet1!$Q$11:$Q$512</c:f>
              <c:numCache>
                <c:formatCode>0.00</c:formatCode>
                <c:ptCount val="502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</c:numCache>
            </c:numRef>
          </c:xVal>
          <c:yVal>
            <c:numRef>
              <c:f>Sheet1!$T$11:$T$512</c:f>
              <c:numCache>
                <c:formatCode>0.0000</c:formatCode>
                <c:ptCount val="502"/>
                <c:pt idx="0">
                  <c:v>5</c:v>
                </c:pt>
                <c:pt idx="1">
                  <c:v>4.9892752552806439</c:v>
                </c:pt>
                <c:pt idx="2">
                  <c:v>4.9931382653821892</c:v>
                </c:pt>
                <c:pt idx="3">
                  <c:v>5.0191920265504582</c:v>
                </c:pt>
                <c:pt idx="4">
                  <c:v>4.9653617836143811</c:v>
                </c:pt>
                <c:pt idx="5">
                  <c:v>4.9024020518654057</c:v>
                </c:pt>
                <c:pt idx="6">
                  <c:v>5.0154547358837025</c:v>
                </c:pt>
                <c:pt idx="7">
                  <c:v>5.027428025064399</c:v>
                </c:pt>
                <c:pt idx="8">
                  <c:v>5.096856054111961</c:v>
                </c:pt>
                <c:pt idx="9">
                  <c:v>5.0379196549295635</c:v>
                </c:pt>
                <c:pt idx="10">
                  <c:v>5.053771897752422</c:v>
                </c:pt>
                <c:pt idx="11">
                  <c:v>5.0497808015327728</c:v>
                </c:pt>
                <c:pt idx="12">
                  <c:v>5.1320733442753248</c:v>
                </c:pt>
                <c:pt idx="13">
                  <c:v>5.1290995627854059</c:v>
                </c:pt>
                <c:pt idx="14">
                  <c:v>5.0875962330645246</c:v>
                </c:pt>
                <c:pt idx="15">
                  <c:v>5.1066533277998323</c:v>
                </c:pt>
                <c:pt idx="16">
                  <c:v>5.055084717345447</c:v>
                </c:pt>
                <c:pt idx="17">
                  <c:v>5.0335042703935544</c:v>
                </c:pt>
                <c:pt idx="18">
                  <c:v>5.0749635910361155</c:v>
                </c:pt>
                <c:pt idx="19">
                  <c:v>5.0205980365331646</c:v>
                </c:pt>
                <c:pt idx="20">
                  <c:v>4.9869823731031344</c:v>
                </c:pt>
                <c:pt idx="21">
                  <c:v>4.9336774018757374</c:v>
                </c:pt>
                <c:pt idx="22">
                  <c:v>4.9868344452089231</c:v>
                </c:pt>
                <c:pt idx="23">
                  <c:v>5.0075685065263134</c:v>
                </c:pt>
                <c:pt idx="24">
                  <c:v>4.9922840571282547</c:v>
                </c:pt>
                <c:pt idx="25">
                  <c:v>5.0236391011709225</c:v>
                </c:pt>
                <c:pt idx="26">
                  <c:v>5.0903797698466979</c:v>
                </c:pt>
                <c:pt idx="27">
                  <c:v>5.0798495153532883</c:v>
                </c:pt>
                <c:pt idx="28">
                  <c:v>5.0870994739436552</c:v>
                </c:pt>
                <c:pt idx="29">
                  <c:v>5.2084524697279448</c:v>
                </c:pt>
                <c:pt idx="30">
                  <c:v>5.3094039479204138</c:v>
                </c:pt>
                <c:pt idx="31">
                  <c:v>5.318185014630938</c:v>
                </c:pt>
                <c:pt idx="32">
                  <c:v>5.4170101955968448</c:v>
                </c:pt>
                <c:pt idx="33">
                  <c:v>5.4549329600555616</c:v>
                </c:pt>
                <c:pt idx="34">
                  <c:v>5.513967982198567</c:v>
                </c:pt>
                <c:pt idx="35">
                  <c:v>5.4226786038354584</c:v>
                </c:pt>
                <c:pt idx="36">
                  <c:v>5.4960346984356505</c:v>
                </c:pt>
                <c:pt idx="37">
                  <c:v>5.586636969759188</c:v>
                </c:pt>
                <c:pt idx="38">
                  <c:v>5.68460788153617</c:v>
                </c:pt>
                <c:pt idx="39">
                  <c:v>5.6797728619656782</c:v>
                </c:pt>
                <c:pt idx="40">
                  <c:v>5.6850103037395909</c:v>
                </c:pt>
                <c:pt idx="41">
                  <c:v>5.6424743609097581</c:v>
                </c:pt>
                <c:pt idx="42">
                  <c:v>5.7236383091047891</c:v>
                </c:pt>
                <c:pt idx="43">
                  <c:v>5.8276898048821835</c:v>
                </c:pt>
                <c:pt idx="44">
                  <c:v>5.7504802333168543</c:v>
                </c:pt>
                <c:pt idx="45">
                  <c:v>5.7094964327049951</c:v>
                </c:pt>
                <c:pt idx="46">
                  <c:v>5.7334434739532378</c:v>
                </c:pt>
                <c:pt idx="47">
                  <c:v>5.836620626372536</c:v>
                </c:pt>
                <c:pt idx="48">
                  <c:v>5.7738762638528343</c:v>
                </c:pt>
                <c:pt idx="49">
                  <c:v>5.8239471414439485</c:v>
                </c:pt>
                <c:pt idx="50">
                  <c:v>5.7988613971008691</c:v>
                </c:pt>
                <c:pt idx="51">
                  <c:v>5.7825510632392234</c:v>
                </c:pt>
                <c:pt idx="52">
                  <c:v>5.8354047802951738</c:v>
                </c:pt>
                <c:pt idx="53">
                  <c:v>5.8140665808848357</c:v>
                </c:pt>
                <c:pt idx="54">
                  <c:v>5.7848242527981162</c:v>
                </c:pt>
                <c:pt idx="55">
                  <c:v>5.8078396886200183</c:v>
                </c:pt>
                <c:pt idx="56">
                  <c:v>5.8641625343836008</c:v>
                </c:pt>
                <c:pt idx="57">
                  <c:v>5.9170222152520191</c:v>
                </c:pt>
                <c:pt idx="58">
                  <c:v>5.8847278809402814</c:v>
                </c:pt>
                <c:pt idx="59">
                  <c:v>5.9025619750852458</c:v>
                </c:pt>
                <c:pt idx="60">
                  <c:v>5.941459936407786</c:v>
                </c:pt>
                <c:pt idx="61">
                  <c:v>5.8766472119484554</c:v>
                </c:pt>
                <c:pt idx="62">
                  <c:v>5.9667664695234883</c:v>
                </c:pt>
                <c:pt idx="63">
                  <c:v>5.9307105550110277</c:v>
                </c:pt>
                <c:pt idx="64">
                  <c:v>5.9700481962791265</c:v>
                </c:pt>
                <c:pt idx="65">
                  <c:v>5.9289525985550489</c:v>
                </c:pt>
                <c:pt idx="66">
                  <c:v>5.9611304979559483</c:v>
                </c:pt>
                <c:pt idx="67">
                  <c:v>5.8777752040767481</c:v>
                </c:pt>
                <c:pt idx="68">
                  <c:v>5.9437681893920171</c:v>
                </c:pt>
                <c:pt idx="69">
                  <c:v>5.9816566318862909</c:v>
                </c:pt>
                <c:pt idx="70">
                  <c:v>6.023933995476316</c:v>
                </c:pt>
                <c:pt idx="71">
                  <c:v>5.9629808434701976</c:v>
                </c:pt>
                <c:pt idx="72">
                  <c:v>5.9672870627912813</c:v>
                </c:pt>
                <c:pt idx="73">
                  <c:v>6.0202213295954845</c:v>
                </c:pt>
                <c:pt idx="74">
                  <c:v>6.0369140869724509</c:v>
                </c:pt>
                <c:pt idx="75">
                  <c:v>6.0556261695155618</c:v>
                </c:pt>
                <c:pt idx="76">
                  <c:v>6.1045969323894909</c:v>
                </c:pt>
                <c:pt idx="77">
                  <c:v>6.0987120585543062</c:v>
                </c:pt>
                <c:pt idx="78">
                  <c:v>6.0701962315511349</c:v>
                </c:pt>
                <c:pt idx="79">
                  <c:v>6.1621942011282238</c:v>
                </c:pt>
                <c:pt idx="80">
                  <c:v>6.161795878975445</c:v>
                </c:pt>
                <c:pt idx="81">
                  <c:v>6.009313000194684</c:v>
                </c:pt>
                <c:pt idx="82">
                  <c:v>6.0506458672394787</c:v>
                </c:pt>
                <c:pt idx="83">
                  <c:v>6.2250492393792562</c:v>
                </c:pt>
                <c:pt idx="84">
                  <c:v>6.2884693065037549</c:v>
                </c:pt>
                <c:pt idx="85">
                  <c:v>6.2906005585391647</c:v>
                </c:pt>
                <c:pt idx="86">
                  <c:v>6.3654744551933486</c:v>
                </c:pt>
                <c:pt idx="87">
                  <c:v>6.4942728680160497</c:v>
                </c:pt>
                <c:pt idx="88">
                  <c:v>6.4008958281367594</c:v>
                </c:pt>
                <c:pt idx="89">
                  <c:v>6.3860740300746031</c:v>
                </c:pt>
                <c:pt idx="90">
                  <c:v>6.3666434397557348</c:v>
                </c:pt>
                <c:pt idx="91">
                  <c:v>6.4659872792051507</c:v>
                </c:pt>
                <c:pt idx="92">
                  <c:v>6.3279034581284206</c:v>
                </c:pt>
                <c:pt idx="93">
                  <c:v>6.3253328513961318</c:v>
                </c:pt>
                <c:pt idx="94">
                  <c:v>6.2853141136821664</c:v>
                </c:pt>
                <c:pt idx="95">
                  <c:v>6.2992656050509162</c:v>
                </c:pt>
                <c:pt idx="96">
                  <c:v>6.2865878783663964</c:v>
                </c:pt>
                <c:pt idx="97">
                  <c:v>6.2898853891181021</c:v>
                </c:pt>
                <c:pt idx="98">
                  <c:v>6.3966494025504508</c:v>
                </c:pt>
                <c:pt idx="99">
                  <c:v>6.2686809664558858</c:v>
                </c:pt>
                <c:pt idx="100">
                  <c:v>6.1303364308349417</c:v>
                </c:pt>
                <c:pt idx="101">
                  <c:v>6.0911152668595774</c:v>
                </c:pt>
                <c:pt idx="102">
                  <c:v>6.082329973944403</c:v>
                </c:pt>
                <c:pt idx="103">
                  <c:v>6.1169826283872961</c:v>
                </c:pt>
                <c:pt idx="104">
                  <c:v>6.1332075194075024</c:v>
                </c:pt>
                <c:pt idx="105">
                  <c:v>6.1946771967700451</c:v>
                </c:pt>
                <c:pt idx="106">
                  <c:v>6.2933127537747042</c:v>
                </c:pt>
                <c:pt idx="107">
                  <c:v>6.303264470702084</c:v>
                </c:pt>
                <c:pt idx="108">
                  <c:v>6.398535091740702</c:v>
                </c:pt>
                <c:pt idx="109">
                  <c:v>6.4208785398821568</c:v>
                </c:pt>
                <c:pt idx="110">
                  <c:v>6.4164436087935366</c:v>
                </c:pt>
                <c:pt idx="111">
                  <c:v>6.3987934857911135</c:v>
                </c:pt>
                <c:pt idx="112">
                  <c:v>6.5916723378391566</c:v>
                </c:pt>
                <c:pt idx="113">
                  <c:v>6.6415433917525348</c:v>
                </c:pt>
                <c:pt idx="114">
                  <c:v>6.7605667318871721</c:v>
                </c:pt>
                <c:pt idx="115">
                  <c:v>6.7617996521625248</c:v>
                </c:pt>
                <c:pt idx="116">
                  <c:v>6.8446333699384532</c:v>
                </c:pt>
                <c:pt idx="117">
                  <c:v>6.9237201700092399</c:v>
                </c:pt>
                <c:pt idx="118">
                  <c:v>6.8003972322339576</c:v>
                </c:pt>
                <c:pt idx="119">
                  <c:v>6.814488107620166</c:v>
                </c:pt>
                <c:pt idx="120">
                  <c:v>6.701639487646994</c:v>
                </c:pt>
                <c:pt idx="121">
                  <c:v>6.7086253381217213</c:v>
                </c:pt>
                <c:pt idx="122">
                  <c:v>6.7980834494469953</c:v>
                </c:pt>
                <c:pt idx="123">
                  <c:v>6.8605432588003481</c:v>
                </c:pt>
                <c:pt idx="124">
                  <c:v>6.8097923756143253</c:v>
                </c:pt>
                <c:pt idx="125">
                  <c:v>6.829081597120922</c:v>
                </c:pt>
                <c:pt idx="126">
                  <c:v>6.8381367072734305</c:v>
                </c:pt>
                <c:pt idx="127">
                  <c:v>6.6891655269800285</c:v>
                </c:pt>
                <c:pt idx="128">
                  <c:v>6.7140374145178159</c:v>
                </c:pt>
                <c:pt idx="129">
                  <c:v>6.7227305765247953</c:v>
                </c:pt>
                <c:pt idx="130">
                  <c:v>6.7732993396650159</c:v>
                </c:pt>
                <c:pt idx="131">
                  <c:v>6.8655440723561858</c:v>
                </c:pt>
                <c:pt idx="132">
                  <c:v>6.8557213429485646</c:v>
                </c:pt>
                <c:pt idx="133">
                  <c:v>6.7730943774519137</c:v>
                </c:pt>
                <c:pt idx="134">
                  <c:v>6.7791779766873699</c:v>
                </c:pt>
                <c:pt idx="135">
                  <c:v>6.6727757784401955</c:v>
                </c:pt>
                <c:pt idx="136">
                  <c:v>6.6336668871121116</c:v>
                </c:pt>
                <c:pt idx="137">
                  <c:v>6.6547580260719741</c:v>
                </c:pt>
                <c:pt idx="138">
                  <c:v>6.5434236135737498</c:v>
                </c:pt>
                <c:pt idx="139">
                  <c:v>6.6433451477794074</c:v>
                </c:pt>
                <c:pt idx="140">
                  <c:v>6.6905067573352754</c:v>
                </c:pt>
                <c:pt idx="141">
                  <c:v>6.6409710525631871</c:v>
                </c:pt>
                <c:pt idx="142">
                  <c:v>6.5294625594672171</c:v>
                </c:pt>
                <c:pt idx="143">
                  <c:v>6.5818240191418687</c:v>
                </c:pt>
                <c:pt idx="144">
                  <c:v>6.6542597807926462</c:v>
                </c:pt>
                <c:pt idx="145">
                  <c:v>6.6851737154321142</c:v>
                </c:pt>
                <c:pt idx="146">
                  <c:v>6.6477355823048692</c:v>
                </c:pt>
                <c:pt idx="147">
                  <c:v>6.653335681686797</c:v>
                </c:pt>
                <c:pt idx="148">
                  <c:v>6.6993822835799346</c:v>
                </c:pt>
                <c:pt idx="149">
                  <c:v>6.6614107796521242</c:v>
                </c:pt>
                <c:pt idx="150">
                  <c:v>6.6833354214884837</c:v>
                </c:pt>
                <c:pt idx="151">
                  <c:v>6.6491289300814218</c:v>
                </c:pt>
                <c:pt idx="152">
                  <c:v>6.7198302311822715</c:v>
                </c:pt>
                <c:pt idx="153">
                  <c:v>6.7465817844325633</c:v>
                </c:pt>
                <c:pt idx="154">
                  <c:v>6.7153261327642362</c:v>
                </c:pt>
                <c:pt idx="155">
                  <c:v>6.6595244369065787</c:v>
                </c:pt>
                <c:pt idx="156">
                  <c:v>6.6843936340315482</c:v>
                </c:pt>
                <c:pt idx="157">
                  <c:v>6.7466667318903992</c:v>
                </c:pt>
                <c:pt idx="158">
                  <c:v>6.7020567370562496</c:v>
                </c:pt>
                <c:pt idx="159">
                  <c:v>6.6142334269334446</c:v>
                </c:pt>
                <c:pt idx="160">
                  <c:v>6.6158707725538966</c:v>
                </c:pt>
                <c:pt idx="161">
                  <c:v>6.6062407457235164</c:v>
                </c:pt>
                <c:pt idx="162">
                  <c:v>6.6798502816873686</c:v>
                </c:pt>
                <c:pt idx="163">
                  <c:v>6.7147205319423611</c:v>
                </c:pt>
                <c:pt idx="164">
                  <c:v>6.7353851709533679</c:v>
                </c:pt>
                <c:pt idx="165">
                  <c:v>6.6847652126816186</c:v>
                </c:pt>
                <c:pt idx="166">
                  <c:v>6.6675681108294942</c:v>
                </c:pt>
                <c:pt idx="167">
                  <c:v>6.5865366576372217</c:v>
                </c:pt>
                <c:pt idx="168">
                  <c:v>6.6496297755740832</c:v>
                </c:pt>
                <c:pt idx="169">
                  <c:v>6.6788324800272916</c:v>
                </c:pt>
                <c:pt idx="170">
                  <c:v>6.7108240681148965</c:v>
                </c:pt>
                <c:pt idx="171">
                  <c:v>6.7079851517901599</c:v>
                </c:pt>
                <c:pt idx="172">
                  <c:v>6.6465665191643346</c:v>
                </c:pt>
                <c:pt idx="173">
                  <c:v>6.5709631110110251</c:v>
                </c:pt>
                <c:pt idx="174">
                  <c:v>6.6048707876499861</c:v>
                </c:pt>
                <c:pt idx="175">
                  <c:v>6.5964719271933578</c:v>
                </c:pt>
                <c:pt idx="176">
                  <c:v>6.6036239041923404</c:v>
                </c:pt>
                <c:pt idx="177">
                  <c:v>6.6056699227415745</c:v>
                </c:pt>
                <c:pt idx="178">
                  <c:v>6.6820990501234654</c:v>
                </c:pt>
                <c:pt idx="179">
                  <c:v>6.8019859294245677</c:v>
                </c:pt>
                <c:pt idx="180">
                  <c:v>6.8195943720650574</c:v>
                </c:pt>
                <c:pt idx="181">
                  <c:v>6.8554349317408665</c:v>
                </c:pt>
                <c:pt idx="182">
                  <c:v>6.7759101278955942</c:v>
                </c:pt>
                <c:pt idx="183">
                  <c:v>6.6951647405318804</c:v>
                </c:pt>
                <c:pt idx="184">
                  <c:v>6.8053423597123013</c:v>
                </c:pt>
                <c:pt idx="185">
                  <c:v>6.7475280678897143</c:v>
                </c:pt>
                <c:pt idx="186">
                  <c:v>6.8607690813546753</c:v>
                </c:pt>
                <c:pt idx="187">
                  <c:v>6.8703641195164176</c:v>
                </c:pt>
                <c:pt idx="188">
                  <c:v>6.8095549265033384</c:v>
                </c:pt>
                <c:pt idx="189">
                  <c:v>6.8118922783831319</c:v>
                </c:pt>
                <c:pt idx="190">
                  <c:v>6.8327553282628459</c:v>
                </c:pt>
                <c:pt idx="191">
                  <c:v>6.9404735476468229</c:v>
                </c:pt>
                <c:pt idx="192">
                  <c:v>7.0178311226367152</c:v>
                </c:pt>
                <c:pt idx="193">
                  <c:v>7.0265946863093163</c:v>
                </c:pt>
                <c:pt idx="194">
                  <c:v>6.9576869930757637</c:v>
                </c:pt>
                <c:pt idx="195">
                  <c:v>6.9010447031310456</c:v>
                </c:pt>
                <c:pt idx="196">
                  <c:v>6.7953444117137831</c:v>
                </c:pt>
                <c:pt idx="197">
                  <c:v>6.8429362175857422</c:v>
                </c:pt>
                <c:pt idx="198">
                  <c:v>6.8129450219091572</c:v>
                </c:pt>
                <c:pt idx="199">
                  <c:v>6.8494236375589512</c:v>
                </c:pt>
                <c:pt idx="200">
                  <c:v>6.877864736121059</c:v>
                </c:pt>
                <c:pt idx="201">
                  <c:v>6.808321793742719</c:v>
                </c:pt>
                <c:pt idx="202">
                  <c:v>6.8345337258602452</c:v>
                </c:pt>
                <c:pt idx="203">
                  <c:v>6.8525907463060038</c:v>
                </c:pt>
                <c:pt idx="204">
                  <c:v>6.8334514963306869</c:v>
                </c:pt>
                <c:pt idx="205">
                  <c:v>6.8250983113172294</c:v>
                </c:pt>
                <c:pt idx="206">
                  <c:v>6.7970980985930325</c:v>
                </c:pt>
                <c:pt idx="207">
                  <c:v>6.9035874223024987</c:v>
                </c:pt>
                <c:pt idx="208">
                  <c:v>7.0367387091956619</c:v>
                </c:pt>
                <c:pt idx="209">
                  <c:v>7.0758469158542878</c:v>
                </c:pt>
                <c:pt idx="210">
                  <c:v>7.1171139951889852</c:v>
                </c:pt>
                <c:pt idx="211">
                  <c:v>7.1343630499961712</c:v>
                </c:pt>
                <c:pt idx="212">
                  <c:v>7.2946380264956554</c:v>
                </c:pt>
                <c:pt idx="213">
                  <c:v>7.4015289352055698</c:v>
                </c:pt>
                <c:pt idx="214">
                  <c:v>7.4512845428806616</c:v>
                </c:pt>
                <c:pt idx="215">
                  <c:v>7.4628924388646407</c:v>
                </c:pt>
                <c:pt idx="216">
                  <c:v>7.4717228846085773</c:v>
                </c:pt>
                <c:pt idx="217">
                  <c:v>7.5123890437569916</c:v>
                </c:pt>
                <c:pt idx="218">
                  <c:v>7.4163746918752471</c:v>
                </c:pt>
                <c:pt idx="219">
                  <c:v>7.5252407082064456</c:v>
                </c:pt>
                <c:pt idx="220">
                  <c:v>7.5056555775778797</c:v>
                </c:pt>
                <c:pt idx="221">
                  <c:v>7.6270931225122531</c:v>
                </c:pt>
                <c:pt idx="222">
                  <c:v>7.5647060693426456</c:v>
                </c:pt>
                <c:pt idx="223">
                  <c:v>7.6267603598474834</c:v>
                </c:pt>
                <c:pt idx="224">
                  <c:v>7.7480961462303082</c:v>
                </c:pt>
                <c:pt idx="225">
                  <c:v>7.8167669370650144</c:v>
                </c:pt>
                <c:pt idx="226">
                  <c:v>7.7409460928210514</c:v>
                </c:pt>
                <c:pt idx="227">
                  <c:v>7.6962359091743275</c:v>
                </c:pt>
                <c:pt idx="228">
                  <c:v>7.7761797294281108</c:v>
                </c:pt>
                <c:pt idx="229">
                  <c:v>7.9028154159490915</c:v>
                </c:pt>
                <c:pt idx="230">
                  <c:v>7.9338068121315644</c:v>
                </c:pt>
                <c:pt idx="231">
                  <c:v>7.8763569325251073</c:v>
                </c:pt>
                <c:pt idx="232">
                  <c:v>7.8674378051067455</c:v>
                </c:pt>
                <c:pt idx="233">
                  <c:v>7.7837589858524217</c:v>
                </c:pt>
                <c:pt idx="234">
                  <c:v>7.8148925272451057</c:v>
                </c:pt>
                <c:pt idx="235">
                  <c:v>7.7477934736205931</c:v>
                </c:pt>
                <c:pt idx="236">
                  <c:v>7.7398363706665965</c:v>
                </c:pt>
                <c:pt idx="237">
                  <c:v>7.687551777606096</c:v>
                </c:pt>
                <c:pt idx="238">
                  <c:v>7.6378622325693168</c:v>
                </c:pt>
                <c:pt idx="239">
                  <c:v>7.7431421388200059</c:v>
                </c:pt>
                <c:pt idx="240">
                  <c:v>7.8016130713616052</c:v>
                </c:pt>
                <c:pt idx="241">
                  <c:v>7.8279973097647</c:v>
                </c:pt>
                <c:pt idx="242">
                  <c:v>7.9193425403837647</c:v>
                </c:pt>
                <c:pt idx="243">
                  <c:v>7.8745213931747582</c:v>
                </c:pt>
                <c:pt idx="244">
                  <c:v>7.8724152101048297</c:v>
                </c:pt>
                <c:pt idx="245">
                  <c:v>7.8080449890740233</c:v>
                </c:pt>
                <c:pt idx="246">
                  <c:v>7.7089297579868861</c:v>
                </c:pt>
                <c:pt idx="247">
                  <c:v>7.8472199262731044</c:v>
                </c:pt>
                <c:pt idx="248">
                  <c:v>7.7027705084363234</c:v>
                </c:pt>
                <c:pt idx="249">
                  <c:v>7.6966676987441671</c:v>
                </c:pt>
                <c:pt idx="250">
                  <c:v>7.6776574328348746</c:v>
                </c:pt>
                <c:pt idx="251">
                  <c:v>7.8561794774201781</c:v>
                </c:pt>
                <c:pt idx="252">
                  <c:v>7.9180275186279214</c:v>
                </c:pt>
                <c:pt idx="253">
                  <c:v>7.7940250864163687</c:v>
                </c:pt>
                <c:pt idx="254">
                  <c:v>7.9125100026355319</c:v>
                </c:pt>
                <c:pt idx="255">
                  <c:v>8.0756212177459492</c:v>
                </c:pt>
                <c:pt idx="256">
                  <c:v>7.9449721861701006</c:v>
                </c:pt>
                <c:pt idx="257">
                  <c:v>7.9169013531870602</c:v>
                </c:pt>
                <c:pt idx="258">
                  <c:v>7.8936175926255459</c:v>
                </c:pt>
                <c:pt idx="259">
                  <c:v>7.9696444839766745</c:v>
                </c:pt>
                <c:pt idx="260">
                  <c:v>8.0209522799102135</c:v>
                </c:pt>
                <c:pt idx="261">
                  <c:v>7.9340186295127815</c:v>
                </c:pt>
                <c:pt idx="262">
                  <c:v>7.9818684373189237</c:v>
                </c:pt>
                <c:pt idx="263">
                  <c:v>8.1130131215746832</c:v>
                </c:pt>
                <c:pt idx="264">
                  <c:v>8.3107173039619759</c:v>
                </c:pt>
                <c:pt idx="265">
                  <c:v>8.3600266329520032</c:v>
                </c:pt>
                <c:pt idx="266">
                  <c:v>8.3675895780464149</c:v>
                </c:pt>
                <c:pt idx="267">
                  <c:v>8.1749833509888958</c:v>
                </c:pt>
                <c:pt idx="268">
                  <c:v>8.273589355377112</c:v>
                </c:pt>
                <c:pt idx="269">
                  <c:v>8.4274004853277198</c:v>
                </c:pt>
                <c:pt idx="270">
                  <c:v>8.4541140542829005</c:v>
                </c:pt>
                <c:pt idx="271">
                  <c:v>8.545803958725374</c:v>
                </c:pt>
                <c:pt idx="272">
                  <c:v>8.5402581273465508</c:v>
                </c:pt>
                <c:pt idx="273">
                  <c:v>8.7087298379744471</c:v>
                </c:pt>
                <c:pt idx="274">
                  <c:v>8.8346614082052586</c:v>
                </c:pt>
                <c:pt idx="275">
                  <c:v>8.8835587801879736</c:v>
                </c:pt>
                <c:pt idx="276">
                  <c:v>9.0674011551624645</c:v>
                </c:pt>
                <c:pt idx="277">
                  <c:v>9.3157150087433145</c:v>
                </c:pt>
                <c:pt idx="278">
                  <c:v>9.1865927251896302</c:v>
                </c:pt>
                <c:pt idx="279">
                  <c:v>9.1807667809779829</c:v>
                </c:pt>
                <c:pt idx="280">
                  <c:v>9.0779907680473126</c:v>
                </c:pt>
                <c:pt idx="281">
                  <c:v>8.9267760864932182</c:v>
                </c:pt>
                <c:pt idx="282">
                  <c:v>9.077569016470969</c:v>
                </c:pt>
                <c:pt idx="283">
                  <c:v>9.1259919657880531</c:v>
                </c:pt>
                <c:pt idx="284">
                  <c:v>9.1291439244838664</c:v>
                </c:pt>
                <c:pt idx="285">
                  <c:v>9.123550256643723</c:v>
                </c:pt>
                <c:pt idx="286">
                  <c:v>8.9859371509876382</c:v>
                </c:pt>
                <c:pt idx="287">
                  <c:v>9.1506400696737629</c:v>
                </c:pt>
                <c:pt idx="288">
                  <c:v>9.2640004582932001</c:v>
                </c:pt>
                <c:pt idx="289">
                  <c:v>9.3572155133066683</c:v>
                </c:pt>
                <c:pt idx="290">
                  <c:v>9.3318569828516118</c:v>
                </c:pt>
                <c:pt idx="291">
                  <c:v>9.2808271748254008</c:v>
                </c:pt>
                <c:pt idx="292">
                  <c:v>9.2145577364575235</c:v>
                </c:pt>
                <c:pt idx="293">
                  <c:v>9.2164738818723997</c:v>
                </c:pt>
                <c:pt idx="294">
                  <c:v>9.324076777732401</c:v>
                </c:pt>
                <c:pt idx="295">
                  <c:v>9.4241170242051702</c:v>
                </c:pt>
                <c:pt idx="296">
                  <c:v>9.4136166639189014</c:v>
                </c:pt>
                <c:pt idx="297">
                  <c:v>9.4921420388071791</c:v>
                </c:pt>
                <c:pt idx="298">
                  <c:v>9.6641244427622084</c:v>
                </c:pt>
                <c:pt idx="299">
                  <c:v>9.7986888631701223</c:v>
                </c:pt>
                <c:pt idx="300">
                  <c:v>9.9248189642598046</c:v>
                </c:pt>
                <c:pt idx="301">
                  <c:v>10.040612573367337</c:v>
                </c:pt>
                <c:pt idx="302">
                  <c:v>10.111646209652006</c:v>
                </c:pt>
                <c:pt idx="303">
                  <c:v>10.153304649312222</c:v>
                </c:pt>
                <c:pt idx="304">
                  <c:v>10.106514437304009</c:v>
                </c:pt>
                <c:pt idx="305">
                  <c:v>10.151743952765818</c:v>
                </c:pt>
                <c:pt idx="306">
                  <c:v>10.46270627204483</c:v>
                </c:pt>
                <c:pt idx="307">
                  <c:v>10.495544428397658</c:v>
                </c:pt>
                <c:pt idx="308">
                  <c:v>10.625831448848139</c:v>
                </c:pt>
                <c:pt idx="309">
                  <c:v>11.030250519752922</c:v>
                </c:pt>
                <c:pt idx="310">
                  <c:v>10.975610762204312</c:v>
                </c:pt>
                <c:pt idx="311">
                  <c:v>11.067369699370552</c:v>
                </c:pt>
                <c:pt idx="312">
                  <c:v>11.265614575226101</c:v>
                </c:pt>
                <c:pt idx="313">
                  <c:v>11.354207290869541</c:v>
                </c:pt>
                <c:pt idx="314">
                  <c:v>11.375988962395247</c:v>
                </c:pt>
                <c:pt idx="315">
                  <c:v>11.384168511235618</c:v>
                </c:pt>
                <c:pt idx="316">
                  <c:v>11.298173533801718</c:v>
                </c:pt>
                <c:pt idx="317">
                  <c:v>11.368667157853801</c:v>
                </c:pt>
                <c:pt idx="318">
                  <c:v>11.463549807134749</c:v>
                </c:pt>
                <c:pt idx="319">
                  <c:v>11.479030889046046</c:v>
                </c:pt>
                <c:pt idx="320">
                  <c:v>11.441206553973805</c:v>
                </c:pt>
                <c:pt idx="321">
                  <c:v>11.432457669172035</c:v>
                </c:pt>
                <c:pt idx="322">
                  <c:v>11.59402764241846</c:v>
                </c:pt>
                <c:pt idx="323">
                  <c:v>11.471521669833184</c:v>
                </c:pt>
                <c:pt idx="324">
                  <c:v>11.733274826997626</c:v>
                </c:pt>
                <c:pt idx="325">
                  <c:v>11.962480050194694</c:v>
                </c:pt>
                <c:pt idx="326">
                  <c:v>12.227144002595214</c:v>
                </c:pt>
                <c:pt idx="327">
                  <c:v>12.226065316843368</c:v>
                </c:pt>
                <c:pt idx="328">
                  <c:v>12.431424200129941</c:v>
                </c:pt>
                <c:pt idx="329">
                  <c:v>12.3057471189426</c:v>
                </c:pt>
                <c:pt idx="330">
                  <c:v>12.322539464274223</c:v>
                </c:pt>
                <c:pt idx="331">
                  <c:v>12.715111499244554</c:v>
                </c:pt>
                <c:pt idx="332">
                  <c:v>12.786170424172049</c:v>
                </c:pt>
                <c:pt idx="333">
                  <c:v>12.871600738493703</c:v>
                </c:pt>
                <c:pt idx="334">
                  <c:v>13.019105560087315</c:v>
                </c:pt>
                <c:pt idx="335">
                  <c:v>12.926135801636965</c:v>
                </c:pt>
                <c:pt idx="336">
                  <c:v>12.895758017027935</c:v>
                </c:pt>
                <c:pt idx="337">
                  <c:v>12.971852327537578</c:v>
                </c:pt>
                <c:pt idx="338">
                  <c:v>12.936822798289926</c:v>
                </c:pt>
                <c:pt idx="339">
                  <c:v>12.98509985242735</c:v>
                </c:pt>
                <c:pt idx="340">
                  <c:v>13.064053871695045</c:v>
                </c:pt>
                <c:pt idx="341">
                  <c:v>13.057701867193048</c:v>
                </c:pt>
                <c:pt idx="342">
                  <c:v>12.837486314273971</c:v>
                </c:pt>
                <c:pt idx="343">
                  <c:v>12.878961349012505</c:v>
                </c:pt>
                <c:pt idx="344">
                  <c:v>12.905167291032347</c:v>
                </c:pt>
                <c:pt idx="345">
                  <c:v>12.872899860778311</c:v>
                </c:pt>
                <c:pt idx="346">
                  <c:v>13.015557221838716</c:v>
                </c:pt>
                <c:pt idx="347">
                  <c:v>13.243280263936544</c:v>
                </c:pt>
                <c:pt idx="348">
                  <c:v>13.129417845921878</c:v>
                </c:pt>
                <c:pt idx="349">
                  <c:v>13.346993261914001</c:v>
                </c:pt>
                <c:pt idx="350">
                  <c:v>13.43654602304087</c:v>
                </c:pt>
                <c:pt idx="351">
                  <c:v>13.396762136774843</c:v>
                </c:pt>
                <c:pt idx="352">
                  <c:v>13.305027058131531</c:v>
                </c:pt>
                <c:pt idx="353">
                  <c:v>13.260064688418089</c:v>
                </c:pt>
                <c:pt idx="354">
                  <c:v>13.349512623014775</c:v>
                </c:pt>
                <c:pt idx="355">
                  <c:v>13.488386110042596</c:v>
                </c:pt>
                <c:pt idx="356">
                  <c:v>13.718028303208161</c:v>
                </c:pt>
                <c:pt idx="357">
                  <c:v>13.977030484511207</c:v>
                </c:pt>
                <c:pt idx="358">
                  <c:v>14.381559035588298</c:v>
                </c:pt>
                <c:pt idx="359">
                  <c:v>13.991975724072832</c:v>
                </c:pt>
                <c:pt idx="360">
                  <c:v>13.932619785948262</c:v>
                </c:pt>
                <c:pt idx="361">
                  <c:v>13.952817129134573</c:v>
                </c:pt>
                <c:pt idx="362">
                  <c:v>13.967683222715122</c:v>
                </c:pt>
                <c:pt idx="363">
                  <c:v>14.130096713045521</c:v>
                </c:pt>
                <c:pt idx="364">
                  <c:v>14.203350766814111</c:v>
                </c:pt>
                <c:pt idx="365">
                  <c:v>14.478647445996511</c:v>
                </c:pt>
                <c:pt idx="366">
                  <c:v>14.554463804887403</c:v>
                </c:pt>
                <c:pt idx="367">
                  <c:v>14.372355019539818</c:v>
                </c:pt>
                <c:pt idx="368">
                  <c:v>14.637019141899307</c:v>
                </c:pt>
                <c:pt idx="369">
                  <c:v>14.881595853915746</c:v>
                </c:pt>
                <c:pt idx="370">
                  <c:v>15.080633964568147</c:v>
                </c:pt>
                <c:pt idx="371">
                  <c:v>14.983600347408585</c:v>
                </c:pt>
                <c:pt idx="372">
                  <c:v>14.999503954004695</c:v>
                </c:pt>
                <c:pt idx="373">
                  <c:v>14.739901470802701</c:v>
                </c:pt>
                <c:pt idx="374">
                  <c:v>14.716702815467361</c:v>
                </c:pt>
                <c:pt idx="375">
                  <c:v>14.562756483109791</c:v>
                </c:pt>
                <c:pt idx="376">
                  <c:v>14.600202218758124</c:v>
                </c:pt>
                <c:pt idx="377">
                  <c:v>14.472595339600437</c:v>
                </c:pt>
                <c:pt idx="378">
                  <c:v>14.343230583099183</c:v>
                </c:pt>
                <c:pt idx="379">
                  <c:v>14.403542645002982</c:v>
                </c:pt>
                <c:pt idx="380">
                  <c:v>14.636732265404751</c:v>
                </c:pt>
                <c:pt idx="381">
                  <c:v>14.69916868993165</c:v>
                </c:pt>
                <c:pt idx="382">
                  <c:v>14.823632354548499</c:v>
                </c:pt>
                <c:pt idx="383">
                  <c:v>14.815613787054549</c:v>
                </c:pt>
                <c:pt idx="384">
                  <c:v>14.915087084106011</c:v>
                </c:pt>
                <c:pt idx="385">
                  <c:v>14.823330047139297</c:v>
                </c:pt>
                <c:pt idx="386">
                  <c:v>14.886125081003483</c:v>
                </c:pt>
                <c:pt idx="387">
                  <c:v>14.827404814443168</c:v>
                </c:pt>
                <c:pt idx="388">
                  <c:v>15.053531328242819</c:v>
                </c:pt>
                <c:pt idx="389">
                  <c:v>15.01692151273215</c:v>
                </c:pt>
                <c:pt idx="390">
                  <c:v>15.037314970237597</c:v>
                </c:pt>
                <c:pt idx="391">
                  <c:v>15.070098289959212</c:v>
                </c:pt>
                <c:pt idx="392">
                  <c:v>14.977808601725124</c:v>
                </c:pt>
                <c:pt idx="393">
                  <c:v>15.171488309748959</c:v>
                </c:pt>
                <c:pt idx="394">
                  <c:v>15.287729333290391</c:v>
                </c:pt>
                <c:pt idx="395">
                  <c:v>15.237269288128074</c:v>
                </c:pt>
                <c:pt idx="396">
                  <c:v>15.052322940361542</c:v>
                </c:pt>
                <c:pt idx="397">
                  <c:v>15.155042112512502</c:v>
                </c:pt>
                <c:pt idx="398">
                  <c:v>14.74096746910741</c:v>
                </c:pt>
                <c:pt idx="399">
                  <c:v>14.810993336743493</c:v>
                </c:pt>
                <c:pt idx="400">
                  <c:v>15.017871041479106</c:v>
                </c:pt>
                <c:pt idx="401">
                  <c:v>14.960280924836423</c:v>
                </c:pt>
                <c:pt idx="402">
                  <c:v>15.170988948451742</c:v>
                </c:pt>
                <c:pt idx="403">
                  <c:v>15.382362184760847</c:v>
                </c:pt>
                <c:pt idx="404">
                  <c:v>15.434400836877735</c:v>
                </c:pt>
                <c:pt idx="405">
                  <c:v>15.327958804837957</c:v>
                </c:pt>
                <c:pt idx="406">
                  <c:v>15.132105971761954</c:v>
                </c:pt>
                <c:pt idx="407">
                  <c:v>15.046527045731537</c:v>
                </c:pt>
                <c:pt idx="408">
                  <c:v>15.240842915692618</c:v>
                </c:pt>
                <c:pt idx="409">
                  <c:v>15.212501088789274</c:v>
                </c:pt>
                <c:pt idx="410">
                  <c:v>15.239803163086775</c:v>
                </c:pt>
                <c:pt idx="411">
                  <c:v>15.487629100130325</c:v>
                </c:pt>
                <c:pt idx="412">
                  <c:v>15.530959375281411</c:v>
                </c:pt>
                <c:pt idx="413">
                  <c:v>15.731880978246885</c:v>
                </c:pt>
                <c:pt idx="414">
                  <c:v>15.492926108591176</c:v>
                </c:pt>
                <c:pt idx="415">
                  <c:v>15.58417985115584</c:v>
                </c:pt>
                <c:pt idx="416">
                  <c:v>15.478893739411586</c:v>
                </c:pt>
                <c:pt idx="417">
                  <c:v>15.302326003630002</c:v>
                </c:pt>
                <c:pt idx="418">
                  <c:v>15.640970991017529</c:v>
                </c:pt>
                <c:pt idx="419">
                  <c:v>15.580793136165413</c:v>
                </c:pt>
                <c:pt idx="420">
                  <c:v>15.568545285132062</c:v>
                </c:pt>
                <c:pt idx="421">
                  <c:v>15.67011368368553</c:v>
                </c:pt>
                <c:pt idx="422">
                  <c:v>15.570566647627826</c:v>
                </c:pt>
                <c:pt idx="423">
                  <c:v>15.389760487718439</c:v>
                </c:pt>
                <c:pt idx="424">
                  <c:v>15.782287431169916</c:v>
                </c:pt>
                <c:pt idx="425">
                  <c:v>15.848720621307109</c:v>
                </c:pt>
                <c:pt idx="426">
                  <c:v>15.779719181857775</c:v>
                </c:pt>
                <c:pt idx="427">
                  <c:v>15.818098421494531</c:v>
                </c:pt>
                <c:pt idx="428">
                  <c:v>15.820835950916484</c:v>
                </c:pt>
                <c:pt idx="429">
                  <c:v>15.979536927213111</c:v>
                </c:pt>
                <c:pt idx="430">
                  <c:v>16.041566954256641</c:v>
                </c:pt>
                <c:pt idx="431">
                  <c:v>16.038449542218562</c:v>
                </c:pt>
                <c:pt idx="432">
                  <c:v>16.237012183893182</c:v>
                </c:pt>
                <c:pt idx="433">
                  <c:v>16.48041057470434</c:v>
                </c:pt>
                <c:pt idx="434">
                  <c:v>16.17394742949331</c:v>
                </c:pt>
                <c:pt idx="435">
                  <c:v>16.173025615652548</c:v>
                </c:pt>
                <c:pt idx="436">
                  <c:v>16.181849775121563</c:v>
                </c:pt>
                <c:pt idx="437">
                  <c:v>16.448784952539821</c:v>
                </c:pt>
                <c:pt idx="438">
                  <c:v>16.461359054903014</c:v>
                </c:pt>
                <c:pt idx="439">
                  <c:v>16.412527234539496</c:v>
                </c:pt>
                <c:pt idx="440">
                  <c:v>16.602201606190832</c:v>
                </c:pt>
                <c:pt idx="441">
                  <c:v>16.567152268414759</c:v>
                </c:pt>
                <c:pt idx="442">
                  <c:v>16.541705271081348</c:v>
                </c:pt>
                <c:pt idx="443">
                  <c:v>16.722945120431209</c:v>
                </c:pt>
                <c:pt idx="444">
                  <c:v>16.471044913899796</c:v>
                </c:pt>
                <c:pt idx="445">
                  <c:v>16.620122900271785</c:v>
                </c:pt>
                <c:pt idx="446">
                  <c:v>16.81783461442452</c:v>
                </c:pt>
                <c:pt idx="447">
                  <c:v>17.029576642282507</c:v>
                </c:pt>
                <c:pt idx="448">
                  <c:v>16.99625630318393</c:v>
                </c:pt>
                <c:pt idx="449">
                  <c:v>16.742271377185357</c:v>
                </c:pt>
                <c:pt idx="450">
                  <c:v>16.810069839730627</c:v>
                </c:pt>
                <c:pt idx="451">
                  <c:v>16.988878703834615</c:v>
                </c:pt>
                <c:pt idx="452">
                  <c:v>17.292472357585559</c:v>
                </c:pt>
                <c:pt idx="453">
                  <c:v>17.148238478385739</c:v>
                </c:pt>
                <c:pt idx="454">
                  <c:v>17.256948312540572</c:v>
                </c:pt>
                <c:pt idx="455">
                  <c:v>17.00598940260782</c:v>
                </c:pt>
                <c:pt idx="456">
                  <c:v>16.854768404399728</c:v>
                </c:pt>
                <c:pt idx="457">
                  <c:v>17.029143102571258</c:v>
                </c:pt>
                <c:pt idx="458">
                  <c:v>17.473595110066444</c:v>
                </c:pt>
                <c:pt idx="459">
                  <c:v>17.179598253532379</c:v>
                </c:pt>
                <c:pt idx="460">
                  <c:v>17.217105403484396</c:v>
                </c:pt>
                <c:pt idx="461">
                  <c:v>17.37373855132083</c:v>
                </c:pt>
                <c:pt idx="462">
                  <c:v>17.308645770305137</c:v>
                </c:pt>
                <c:pt idx="463">
                  <c:v>17.280182102510853</c:v>
                </c:pt>
                <c:pt idx="464">
                  <c:v>17.078468736901176</c:v>
                </c:pt>
                <c:pt idx="465">
                  <c:v>17.358846989290864</c:v>
                </c:pt>
                <c:pt idx="466">
                  <c:v>17.475509605324401</c:v>
                </c:pt>
                <c:pt idx="467">
                  <c:v>17.602332090446247</c:v>
                </c:pt>
                <c:pt idx="468">
                  <c:v>18.032508668697211</c:v>
                </c:pt>
                <c:pt idx="469">
                  <c:v>18.331275583387974</c:v>
                </c:pt>
                <c:pt idx="470">
                  <c:v>18.271458904624456</c:v>
                </c:pt>
                <c:pt idx="471">
                  <c:v>17.881144409212027</c:v>
                </c:pt>
                <c:pt idx="472">
                  <c:v>17.964961777427469</c:v>
                </c:pt>
                <c:pt idx="473">
                  <c:v>18.057116900308678</c:v>
                </c:pt>
                <c:pt idx="474">
                  <c:v>17.948371154934669</c:v>
                </c:pt>
                <c:pt idx="475">
                  <c:v>17.923313221006591</c:v>
                </c:pt>
                <c:pt idx="476">
                  <c:v>18.144699439059039</c:v>
                </c:pt>
                <c:pt idx="477">
                  <c:v>17.915698757900639</c:v>
                </c:pt>
                <c:pt idx="478">
                  <c:v>17.670024458878476</c:v>
                </c:pt>
                <c:pt idx="479">
                  <c:v>17.653198456077419</c:v>
                </c:pt>
                <c:pt idx="480">
                  <c:v>17.843049650101559</c:v>
                </c:pt>
                <c:pt idx="481">
                  <c:v>17.65619292287154</c:v>
                </c:pt>
                <c:pt idx="482">
                  <c:v>17.604326013822433</c:v>
                </c:pt>
                <c:pt idx="483">
                  <c:v>17.43242656412988</c:v>
                </c:pt>
                <c:pt idx="484">
                  <c:v>17.413249900338528</c:v>
                </c:pt>
                <c:pt idx="485">
                  <c:v>17.637582137217375</c:v>
                </c:pt>
                <c:pt idx="486">
                  <c:v>17.467928818479631</c:v>
                </c:pt>
                <c:pt idx="487">
                  <c:v>17.58074096518812</c:v>
                </c:pt>
                <c:pt idx="488">
                  <c:v>17.532275139718447</c:v>
                </c:pt>
                <c:pt idx="489">
                  <c:v>17.708100964929343</c:v>
                </c:pt>
                <c:pt idx="490">
                  <c:v>17.919642827115602</c:v>
                </c:pt>
                <c:pt idx="491">
                  <c:v>18.114905525417687</c:v>
                </c:pt>
                <c:pt idx="492">
                  <c:v>18.243138687533015</c:v>
                </c:pt>
                <c:pt idx="493">
                  <c:v>18.240887565555656</c:v>
                </c:pt>
                <c:pt idx="494">
                  <c:v>18.402125379226693</c:v>
                </c:pt>
                <c:pt idx="495">
                  <c:v>18.416802284529737</c:v>
                </c:pt>
                <c:pt idx="496">
                  <c:v>18.40538800577794</c:v>
                </c:pt>
                <c:pt idx="497">
                  <c:v>18.343284470449742</c:v>
                </c:pt>
                <c:pt idx="498">
                  <c:v>18.426397127200119</c:v>
                </c:pt>
                <c:pt idx="499">
                  <c:v>18.164160964712114</c:v>
                </c:pt>
                <c:pt idx="500">
                  <c:v>18.024153640626491</c:v>
                </c:pt>
                <c:pt idx="501">
                  <c:v>18.065131439970724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E9-4450-8C3D-A29F683D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101128"/>
        <c:axId val="282014832"/>
      </c:scatterChart>
      <c:valAx>
        <c:axId val="28410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14832"/>
        <c:crosses val="autoZero"/>
        <c:crossBetween val="midCat"/>
      </c:valAx>
      <c:valAx>
        <c:axId val="2820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01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59" workbookViewId="0" zoomToFit="1"/>
  </sheetViews>
  <pageMargins left="0.7" right="0.7" top="0.75" bottom="0.75" header="0.3" footer="0.3"/>
  <pageSetup orientation="landscape" horizontalDpi="4294967293" r:id="rId1"/>
  <headerFooter>
    <oddHeader>&amp;L&amp;"Calibri"&amp;12&amp;K03C03CPublic&amp;1#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6" workbookViewId="0"/>
  </sheetViews>
  <pageMargins left="0.7" right="0.7" top="0.75" bottom="0.75" header="0.3" footer="0.3"/>
  <pageSetup orientation="landscape" horizontalDpi="4294967293" r:id="rId1"/>
  <headerFooter>
    <oddHeader>&amp;L&amp;"Calibri"&amp;12&amp;K03C03CPublic&amp;1#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214" cy="62895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12"/>
  <sheetViews>
    <sheetView tabSelected="1" topLeftCell="J3" workbookViewId="0">
      <selection activeCell="L12" sqref="L12:L512"/>
    </sheetView>
  </sheetViews>
  <sheetFormatPr defaultRowHeight="14" x14ac:dyDescent="0.25"/>
  <cols>
    <col min="3" max="3" width="17.81640625" customWidth="1"/>
    <col min="5" max="5" width="28.81640625" customWidth="1"/>
    <col min="9" max="9" width="15.7265625" customWidth="1"/>
    <col min="10" max="10" width="20" customWidth="1"/>
    <col min="14" max="14" width="23.54296875" customWidth="1"/>
    <col min="15" max="15" width="14" customWidth="1"/>
  </cols>
  <sheetData>
    <row r="1" spans="1:20" x14ac:dyDescent="0.25">
      <c r="A1" s="1" t="s">
        <v>0</v>
      </c>
      <c r="B1" s="2">
        <v>0.05</v>
      </c>
      <c r="F1" s="1" t="s">
        <v>10</v>
      </c>
      <c r="G1" s="2">
        <v>0.05</v>
      </c>
    </row>
    <row r="2" spans="1:20" x14ac:dyDescent="0.25">
      <c r="A2" s="1" t="s">
        <v>5</v>
      </c>
      <c r="B2" s="2">
        <v>2</v>
      </c>
      <c r="F2" s="1" t="s">
        <v>16</v>
      </c>
      <c r="G2" s="2">
        <v>5</v>
      </c>
    </row>
    <row r="3" spans="1:20" x14ac:dyDescent="0.25">
      <c r="A3" s="1" t="s">
        <v>1</v>
      </c>
      <c r="B3" s="2">
        <v>0</v>
      </c>
    </row>
    <row r="4" spans="1:20" x14ac:dyDescent="0.25">
      <c r="A4" s="1" t="s">
        <v>2</v>
      </c>
      <c r="B4" s="2">
        <v>0.05</v>
      </c>
    </row>
    <row r="7" spans="1:20" x14ac:dyDescent="0.25">
      <c r="A7" s="6" t="s">
        <v>8</v>
      </c>
      <c r="B7" s="6"/>
      <c r="C7" s="6"/>
      <c r="D7" s="6"/>
      <c r="E7" s="6"/>
      <c r="F7" s="5"/>
      <c r="G7" s="6" t="s">
        <v>15</v>
      </c>
      <c r="H7" s="6"/>
      <c r="I7" s="6"/>
      <c r="J7" s="6"/>
      <c r="L7" s="6" t="s">
        <v>21</v>
      </c>
      <c r="M7" s="6"/>
      <c r="N7" s="6"/>
      <c r="O7" s="6"/>
    </row>
    <row r="10" spans="1:20" x14ac:dyDescent="0.25">
      <c r="A10" s="3" t="s">
        <v>3</v>
      </c>
      <c r="B10" s="3" t="s">
        <v>13</v>
      </c>
      <c r="C10" s="4" t="s">
        <v>6</v>
      </c>
      <c r="D10" s="3" t="s">
        <v>4</v>
      </c>
      <c r="E10" s="4" t="s">
        <v>7</v>
      </c>
      <c r="G10" s="5" t="s">
        <v>14</v>
      </c>
      <c r="H10" s="5" t="s">
        <v>9</v>
      </c>
      <c r="I10" s="5" t="s">
        <v>11</v>
      </c>
      <c r="J10" s="5" t="s">
        <v>12</v>
      </c>
      <c r="L10" s="5" t="s">
        <v>20</v>
      </c>
      <c r="M10" s="5" t="s">
        <v>17</v>
      </c>
      <c r="N10" s="5" t="s">
        <v>18</v>
      </c>
      <c r="O10" s="5" t="s">
        <v>19</v>
      </c>
      <c r="Q10" s="5" t="s">
        <v>3</v>
      </c>
      <c r="R10" s="5" t="s">
        <v>13</v>
      </c>
      <c r="S10" s="5" t="s">
        <v>14</v>
      </c>
      <c r="T10" s="5" t="s">
        <v>20</v>
      </c>
    </row>
    <row r="11" spans="1:20" x14ac:dyDescent="0.25">
      <c r="A11" s="7">
        <v>0</v>
      </c>
      <c r="B11" s="8">
        <f>XStart</f>
        <v>5</v>
      </c>
      <c r="C11" s="8"/>
      <c r="D11" s="8"/>
      <c r="E11" s="8"/>
      <c r="G11" s="8">
        <f>XStart</f>
        <v>5</v>
      </c>
      <c r="H11" s="8"/>
      <c r="I11" s="8"/>
      <c r="J11" s="8"/>
      <c r="L11" s="8">
        <f>XStart</f>
        <v>5</v>
      </c>
      <c r="M11" s="8"/>
      <c r="N11" s="8"/>
      <c r="O11" s="8"/>
      <c r="Q11" s="7">
        <f>A11</f>
        <v>0</v>
      </c>
      <c r="R11" s="8">
        <f>B11</f>
        <v>5</v>
      </c>
      <c r="S11" s="8">
        <f>G11</f>
        <v>5</v>
      </c>
      <c r="T11" s="8">
        <f>L11</f>
        <v>5</v>
      </c>
    </row>
    <row r="12" spans="1:20" x14ac:dyDescent="0.25">
      <c r="A12" s="7">
        <f>A11+dt</f>
        <v>0.05</v>
      </c>
      <c r="B12" s="8">
        <f ca="1">B11+E12</f>
        <v>4.4953550510561291</v>
      </c>
      <c r="C12" s="8">
        <f>lambda*(a-B11)*dt</f>
        <v>-0.5</v>
      </c>
      <c r="D12" s="8">
        <f ca="1">sigma*SQRT(dt)*_xlfn.NORM.S.INV(RAND())</f>
        <v>-4.6449489438712419E-3</v>
      </c>
      <c r="E12" s="8">
        <f ca="1">C12+D12</f>
        <v>-0.50464494894387124</v>
      </c>
      <c r="G12" s="8">
        <f ca="1">G11+J12</f>
        <v>4.9978550510561286</v>
      </c>
      <c r="H12" s="8">
        <f>mu*dt</f>
        <v>2.5000000000000005E-3</v>
      </c>
      <c r="I12" s="8">
        <f ca="1">D12</f>
        <v>-4.6449489438712419E-3</v>
      </c>
      <c r="J12" s="8">
        <f ca="1">H12+I12</f>
        <v>-2.1449489438712414E-3</v>
      </c>
      <c r="L12" s="8">
        <f ca="1">L11+O12</f>
        <v>4.9892752552806439</v>
      </c>
      <c r="M12" s="8">
        <f>mu*L11*dt</f>
        <v>1.2500000000000001E-2</v>
      </c>
      <c r="N12" s="8">
        <f ca="1">L11*D12</f>
        <v>-2.3224744719356209E-2</v>
      </c>
      <c r="O12" s="8">
        <f ca="1">M12+N12</f>
        <v>-1.0724744719356208E-2</v>
      </c>
      <c r="Q12" s="7">
        <f>A12</f>
        <v>0.05</v>
      </c>
      <c r="R12" s="8">
        <f ca="1">B12</f>
        <v>4.4953550510561291</v>
      </c>
      <c r="S12" s="8">
        <f ca="1">G12</f>
        <v>4.9978550510561286</v>
      </c>
      <c r="T12" s="8">
        <f ca="1">L12</f>
        <v>4.9892752552806439</v>
      </c>
    </row>
    <row r="13" spans="1:20" x14ac:dyDescent="0.25">
      <c r="A13" s="7">
        <f>A12+dt</f>
        <v>0.1</v>
      </c>
      <c r="B13" s="8">
        <f t="shared" ref="B13:B76" ca="1" si="0">B12+E13</f>
        <v>4.0440938087249458</v>
      </c>
      <c r="C13" s="8">
        <f ca="1">lambda*(a-B12)*dt</f>
        <v>-0.44953550510561291</v>
      </c>
      <c r="D13" s="8">
        <f ca="1">sigma*SQRT(dt)*_xlfn.NORM.S.INV(RAND())</f>
        <v>-1.7257372255706149E-3</v>
      </c>
      <c r="E13" s="8">
        <f t="shared" ref="E13:E76" ca="1" si="1">C13+D13</f>
        <v>-0.45126124233118353</v>
      </c>
      <c r="G13" s="8">
        <f t="shared" ref="G13:G76" ca="1" si="2">G12+J13</f>
        <v>4.9986293138305582</v>
      </c>
      <c r="H13" s="8">
        <f>mu*dt</f>
        <v>2.5000000000000005E-3</v>
      </c>
      <c r="I13" s="8">
        <f t="shared" ref="I13:I76" ca="1" si="3">D13</f>
        <v>-1.7257372255706149E-3</v>
      </c>
      <c r="J13" s="8">
        <f t="shared" ref="J13:J76" ca="1" si="4">H13+I13</f>
        <v>7.7426277442938559E-4</v>
      </c>
      <c r="L13" s="8">
        <f t="shared" ref="L13:L76" ca="1" si="5">L12+O13</f>
        <v>4.9931382653821892</v>
      </c>
      <c r="M13" s="8">
        <f ca="1">mu*L12*dt</f>
        <v>1.2473188138201611E-2</v>
      </c>
      <c r="N13" s="8">
        <f t="shared" ref="N13:N76" ca="1" si="6">L12*D13</f>
        <v>-8.6101780366561395E-3</v>
      </c>
      <c r="O13" s="8">
        <f t="shared" ref="O13:O76" ca="1" si="7">M13+N13</f>
        <v>3.8630101015454717E-3</v>
      </c>
      <c r="Q13" s="7">
        <f t="shared" ref="Q13:Q76" si="8">A13</f>
        <v>0.1</v>
      </c>
      <c r="R13" s="8">
        <f t="shared" ref="R13:R76" ca="1" si="9">B13</f>
        <v>4.0440938087249458</v>
      </c>
      <c r="S13" s="8">
        <f t="shared" ref="S13:S76" ca="1" si="10">G13</f>
        <v>4.9986293138305582</v>
      </c>
      <c r="T13" s="8">
        <f t="shared" ref="T13:T76" ca="1" si="11">L13</f>
        <v>4.9931382653821892</v>
      </c>
    </row>
    <row r="14" spans="1:20" x14ac:dyDescent="0.25">
      <c r="A14" s="7">
        <f>A13+dt</f>
        <v>0.15000000000000002</v>
      </c>
      <c r="B14" s="8">
        <f t="shared" ca="1" si="0"/>
        <v>3.6424023408729864</v>
      </c>
      <c r="C14" s="8">
        <f ca="1">lambda*(a-B13)*dt</f>
        <v>-0.40440938087249462</v>
      </c>
      <c r="D14" s="8">
        <f ca="1">sigma*SQRT(dt)*_xlfn.NORM.S.INV(RAND())</f>
        <v>2.717913020535017E-3</v>
      </c>
      <c r="E14" s="8">
        <f t="shared" ca="1" si="1"/>
        <v>-0.40169146785195958</v>
      </c>
      <c r="G14" s="8">
        <f t="shared" ca="1" si="2"/>
        <v>5.003847226851093</v>
      </c>
      <c r="H14" s="8">
        <f>mu*dt</f>
        <v>2.5000000000000005E-3</v>
      </c>
      <c r="I14" s="8">
        <f t="shared" ca="1" si="3"/>
        <v>2.717913020535017E-3</v>
      </c>
      <c r="J14" s="8">
        <f t="shared" ca="1" si="4"/>
        <v>5.2179130205350175E-3</v>
      </c>
      <c r="L14" s="8">
        <f t="shared" ca="1" si="5"/>
        <v>5.0191920265504582</v>
      </c>
      <c r="M14" s="8">
        <f ca="1">mu*L13*dt</f>
        <v>1.2482845663455474E-2</v>
      </c>
      <c r="N14" s="8">
        <f t="shared" ca="1" si="6"/>
        <v>1.3570915504813881E-2</v>
      </c>
      <c r="O14" s="8">
        <f t="shared" ca="1" si="7"/>
        <v>2.6053761168269355E-2</v>
      </c>
      <c r="Q14" s="7">
        <f t="shared" si="8"/>
        <v>0.15000000000000002</v>
      </c>
      <c r="R14" s="8">
        <f t="shared" ca="1" si="9"/>
        <v>3.6424023408729864</v>
      </c>
      <c r="S14" s="8">
        <f t="shared" ca="1" si="10"/>
        <v>5.003847226851093</v>
      </c>
      <c r="T14" s="8">
        <f t="shared" ca="1" si="11"/>
        <v>5.0191920265504582</v>
      </c>
    </row>
    <row r="15" spans="1:20" x14ac:dyDescent="0.25">
      <c r="A15" s="7">
        <f>A14+dt</f>
        <v>0.2</v>
      </c>
      <c r="B15" s="8">
        <f t="shared" ca="1" si="0"/>
        <v>3.2649372246430386</v>
      </c>
      <c r="C15" s="8">
        <f ca="1">lambda*(a-B14)*dt</f>
        <v>-0.36424023408729866</v>
      </c>
      <c r="D15" s="8">
        <f ca="1">sigma*SQRT(dt)*_xlfn.NORM.S.INV(RAND())</f>
        <v>-1.322488214264902E-2</v>
      </c>
      <c r="E15" s="8">
        <f t="shared" ca="1" si="1"/>
        <v>-0.37746511622994766</v>
      </c>
      <c r="G15" s="8">
        <f t="shared" ca="1" si="2"/>
        <v>4.9931223447084436</v>
      </c>
      <c r="H15" s="8">
        <f>mu*dt</f>
        <v>2.5000000000000005E-3</v>
      </c>
      <c r="I15" s="8">
        <f t="shared" ca="1" si="3"/>
        <v>-1.322488214264902E-2</v>
      </c>
      <c r="J15" s="8">
        <f t="shared" ca="1" si="4"/>
        <v>-1.0724882142649019E-2</v>
      </c>
      <c r="L15" s="8">
        <f t="shared" ca="1" si="5"/>
        <v>4.9653617836143811</v>
      </c>
      <c r="M15" s="8">
        <f ca="1">mu*L14*dt</f>
        <v>1.2547980066376148E-2</v>
      </c>
      <c r="N15" s="8">
        <f t="shared" ca="1" si="6"/>
        <v>-6.6378223002453496E-2</v>
      </c>
      <c r="O15" s="8">
        <f t="shared" ca="1" si="7"/>
        <v>-5.3830242936077348E-2</v>
      </c>
      <c r="Q15" s="7">
        <f t="shared" si="8"/>
        <v>0.2</v>
      </c>
      <c r="R15" s="8">
        <f t="shared" ca="1" si="9"/>
        <v>3.2649372246430386</v>
      </c>
      <c r="S15" s="8">
        <f t="shared" ca="1" si="10"/>
        <v>4.9931223447084436</v>
      </c>
      <c r="T15" s="8">
        <f t="shared" ca="1" si="11"/>
        <v>4.9653617836143811</v>
      </c>
    </row>
    <row r="16" spans="1:20" x14ac:dyDescent="0.25">
      <c r="A16" s="7">
        <f>A15+dt</f>
        <v>0.25</v>
      </c>
      <c r="B16" s="8">
        <f t="shared" ca="1" si="0"/>
        <v>2.9232637147850467</v>
      </c>
      <c r="C16" s="8">
        <f ca="1">lambda*(a-B15)*dt</f>
        <v>-0.32649372246430386</v>
      </c>
      <c r="D16" s="8">
        <f ca="1">sigma*SQRT(dt)*_xlfn.NORM.S.INV(RAND())</f>
        <v>-1.5179787393688278E-2</v>
      </c>
      <c r="E16" s="8">
        <f t="shared" ca="1" si="1"/>
        <v>-0.34167350985799216</v>
      </c>
      <c r="G16" s="8">
        <f t="shared" ca="1" si="2"/>
        <v>4.9804425573147553</v>
      </c>
      <c r="H16" s="8">
        <f>mu*dt</f>
        <v>2.5000000000000005E-3</v>
      </c>
      <c r="I16" s="8">
        <f t="shared" ca="1" si="3"/>
        <v>-1.5179787393688278E-2</v>
      </c>
      <c r="J16" s="8">
        <f t="shared" ca="1" si="4"/>
        <v>-1.2679787393688278E-2</v>
      </c>
      <c r="L16" s="8">
        <f t="shared" ca="1" si="5"/>
        <v>4.9024020518654057</v>
      </c>
      <c r="M16" s="8">
        <f ca="1">mu*L15*dt</f>
        <v>1.2413404459035954E-2</v>
      </c>
      <c r="N16" s="8">
        <f t="shared" ca="1" si="6"/>
        <v>-7.5373136208011129E-2</v>
      </c>
      <c r="O16" s="8">
        <f t="shared" ca="1" si="7"/>
        <v>-6.2959731748975178E-2</v>
      </c>
      <c r="Q16" s="7">
        <f t="shared" si="8"/>
        <v>0.25</v>
      </c>
      <c r="R16" s="8">
        <f t="shared" ca="1" si="9"/>
        <v>2.9232637147850467</v>
      </c>
      <c r="S16" s="8">
        <f t="shared" ca="1" si="10"/>
        <v>4.9804425573147553</v>
      </c>
      <c r="T16" s="8">
        <f t="shared" ca="1" si="11"/>
        <v>4.9024020518654057</v>
      </c>
    </row>
    <row r="17" spans="1:20" x14ac:dyDescent="0.25">
      <c r="A17" s="7">
        <f>A16+dt</f>
        <v>0.3</v>
      </c>
      <c r="B17" s="8">
        <f t="shared" ca="1" si="0"/>
        <v>2.6514980149573462</v>
      </c>
      <c r="C17" s="8">
        <f ca="1">lambda*(a-B16)*dt</f>
        <v>-0.29232637147850465</v>
      </c>
      <c r="D17" s="8">
        <f ca="1">sigma*SQRT(dt)*_xlfn.NORM.S.INV(RAND())</f>
        <v>2.0560671650804191E-2</v>
      </c>
      <c r="E17" s="8">
        <f t="shared" ca="1" si="1"/>
        <v>-0.27176569982770049</v>
      </c>
      <c r="G17" s="8">
        <f t="shared" ca="1" si="2"/>
        <v>5.0035032289655597</v>
      </c>
      <c r="H17" s="8">
        <f>mu*dt</f>
        <v>2.5000000000000005E-3</v>
      </c>
      <c r="I17" s="8">
        <f t="shared" ca="1" si="3"/>
        <v>2.0560671650804191E-2</v>
      </c>
      <c r="J17" s="8">
        <f t="shared" ca="1" si="4"/>
        <v>2.3060671650804193E-2</v>
      </c>
      <c r="L17" s="8">
        <f t="shared" ca="1" si="5"/>
        <v>5.0154547358837025</v>
      </c>
      <c r="M17" s="8">
        <f ca="1">mu*L16*dt</f>
        <v>1.2256005129663516E-2</v>
      </c>
      <c r="N17" s="8">
        <f t="shared" ca="1" si="6"/>
        <v>0.10079667888863335</v>
      </c>
      <c r="O17" s="8">
        <f t="shared" ca="1" si="7"/>
        <v>0.11305268401829686</v>
      </c>
      <c r="Q17" s="7">
        <f t="shared" si="8"/>
        <v>0.3</v>
      </c>
      <c r="R17" s="8">
        <f t="shared" ca="1" si="9"/>
        <v>2.6514980149573462</v>
      </c>
      <c r="S17" s="8">
        <f t="shared" ca="1" si="10"/>
        <v>5.0035032289655597</v>
      </c>
      <c r="T17" s="8">
        <f t="shared" ca="1" si="11"/>
        <v>5.0154547358837025</v>
      </c>
    </row>
    <row r="18" spans="1:20" x14ac:dyDescent="0.25">
      <c r="A18" s="7">
        <f>A17+dt</f>
        <v>0.35</v>
      </c>
      <c r="B18" s="8">
        <f t="shared" ca="1" si="0"/>
        <v>2.3862354923448268</v>
      </c>
      <c r="C18" s="8">
        <f ca="1">lambda*(a-B17)*dt</f>
        <v>-0.26514980149573464</v>
      </c>
      <c r="D18" s="8">
        <f ca="1">sigma*SQRT(dt)*_xlfn.NORM.S.INV(RAND())</f>
        <v>-1.1272111678487637E-4</v>
      </c>
      <c r="E18" s="8">
        <f t="shared" ca="1" si="1"/>
        <v>-0.26526252261251954</v>
      </c>
      <c r="G18" s="8">
        <f t="shared" ca="1" si="2"/>
        <v>5.0058905078487745</v>
      </c>
      <c r="H18" s="8">
        <f>mu*dt</f>
        <v>2.5000000000000005E-3</v>
      </c>
      <c r="I18" s="8">
        <f t="shared" ca="1" si="3"/>
        <v>-1.1272111678487637E-4</v>
      </c>
      <c r="J18" s="8">
        <f t="shared" ca="1" si="4"/>
        <v>2.3872788832151239E-3</v>
      </c>
      <c r="L18" s="8">
        <f t="shared" ca="1" si="5"/>
        <v>5.027428025064399</v>
      </c>
      <c r="M18" s="8">
        <f ca="1">mu*L17*dt</f>
        <v>1.2538636839709259E-2</v>
      </c>
      <c r="N18" s="8">
        <f t="shared" ca="1" si="6"/>
        <v>-5.6534765901280809E-4</v>
      </c>
      <c r="O18" s="8">
        <f t="shared" ca="1" si="7"/>
        <v>1.1973289180696451E-2</v>
      </c>
      <c r="Q18" s="7">
        <f t="shared" si="8"/>
        <v>0.35</v>
      </c>
      <c r="R18" s="8">
        <f t="shared" ca="1" si="9"/>
        <v>2.3862354923448268</v>
      </c>
      <c r="S18" s="8">
        <f t="shared" ca="1" si="10"/>
        <v>5.0058905078487745</v>
      </c>
      <c r="T18" s="8">
        <f t="shared" ca="1" si="11"/>
        <v>5.027428025064399</v>
      </c>
    </row>
    <row r="19" spans="1:20" x14ac:dyDescent="0.25">
      <c r="A19" s="7">
        <f>A18+dt</f>
        <v>0.39999999999999997</v>
      </c>
      <c r="B19" s="8">
        <f t="shared" ca="1" si="0"/>
        <v>2.1589217935351392</v>
      </c>
      <c r="C19" s="8">
        <f ca="1">lambda*(a-B18)*dt</f>
        <v>-0.2386235492344827</v>
      </c>
      <c r="D19" s="8">
        <f ca="1">sigma*SQRT(dt)*_xlfn.NORM.S.INV(RAND())</f>
        <v>1.1309850424794944E-2</v>
      </c>
      <c r="E19" s="8">
        <f t="shared" ca="1" si="1"/>
        <v>-0.22731369880968777</v>
      </c>
      <c r="G19" s="8">
        <f t="shared" ca="1" si="2"/>
        <v>5.0197003582735693</v>
      </c>
      <c r="H19" s="8">
        <f>mu*dt</f>
        <v>2.5000000000000005E-3</v>
      </c>
      <c r="I19" s="8">
        <f t="shared" ca="1" si="3"/>
        <v>1.1309850424794944E-2</v>
      </c>
      <c r="J19" s="8">
        <f t="shared" ca="1" si="4"/>
        <v>1.3809850424794944E-2</v>
      </c>
      <c r="L19" s="8">
        <f t="shared" ca="1" si="5"/>
        <v>5.096856054111961</v>
      </c>
      <c r="M19" s="8">
        <f ca="1">mu*L18*dt</f>
        <v>1.2568570062660997E-2</v>
      </c>
      <c r="N19" s="8">
        <f t="shared" ca="1" si="6"/>
        <v>5.68594589849006E-2</v>
      </c>
      <c r="O19" s="8">
        <f t="shared" ca="1" si="7"/>
        <v>6.9428029047561596E-2</v>
      </c>
      <c r="Q19" s="7">
        <f t="shared" si="8"/>
        <v>0.39999999999999997</v>
      </c>
      <c r="R19" s="8">
        <f t="shared" ca="1" si="9"/>
        <v>2.1589217935351392</v>
      </c>
      <c r="S19" s="8">
        <f t="shared" ca="1" si="10"/>
        <v>5.0197003582735693</v>
      </c>
      <c r="T19" s="8">
        <f t="shared" ca="1" si="11"/>
        <v>5.096856054111961</v>
      </c>
    </row>
    <row r="20" spans="1:20" x14ac:dyDescent="0.25">
      <c r="A20" s="7">
        <f>A19+dt</f>
        <v>0.44999999999999996</v>
      </c>
      <c r="B20" s="8">
        <f t="shared" ca="1" si="0"/>
        <v>1.9289663291767742</v>
      </c>
      <c r="C20" s="8">
        <f ca="1">lambda*(a-B19)*dt</f>
        <v>-0.21589217935351393</v>
      </c>
      <c r="D20" s="8">
        <f ca="1">sigma*SQRT(dt)*_xlfn.NORM.S.INV(RAND())</f>
        <v>-1.4063285004851064E-2</v>
      </c>
      <c r="E20" s="8">
        <f t="shared" ca="1" si="1"/>
        <v>-0.229955464358365</v>
      </c>
      <c r="G20" s="8">
        <f t="shared" ca="1" si="2"/>
        <v>5.0081370732687178</v>
      </c>
      <c r="H20" s="8">
        <f>mu*dt</f>
        <v>2.5000000000000005E-3</v>
      </c>
      <c r="I20" s="8">
        <f t="shared" ca="1" si="3"/>
        <v>-1.4063285004851064E-2</v>
      </c>
      <c r="J20" s="8">
        <f t="shared" ca="1" si="4"/>
        <v>-1.1563285004851064E-2</v>
      </c>
      <c r="L20" s="8">
        <f t="shared" ca="1" si="5"/>
        <v>5.0379196549295635</v>
      </c>
      <c r="M20" s="8">
        <f ca="1">mu*L19*dt</f>
        <v>1.2742140135279904E-2</v>
      </c>
      <c r="N20" s="8">
        <f t="shared" ca="1" si="6"/>
        <v>-7.1678539317677106E-2</v>
      </c>
      <c r="O20" s="8">
        <f t="shared" ca="1" si="7"/>
        <v>-5.8936399182397202E-2</v>
      </c>
      <c r="Q20" s="7">
        <f t="shared" si="8"/>
        <v>0.44999999999999996</v>
      </c>
      <c r="R20" s="8">
        <f t="shared" ca="1" si="9"/>
        <v>1.9289663291767742</v>
      </c>
      <c r="S20" s="8">
        <f t="shared" ca="1" si="10"/>
        <v>5.0081370732687178</v>
      </c>
      <c r="T20" s="8">
        <f t="shared" ca="1" si="11"/>
        <v>5.0379196549295635</v>
      </c>
    </row>
    <row r="21" spans="1:20" x14ac:dyDescent="0.25">
      <c r="A21" s="7">
        <f>A20+dt</f>
        <v>0.49999999999999994</v>
      </c>
      <c r="B21" s="8">
        <f t="shared" ca="1" si="0"/>
        <v>1.7367162813395767</v>
      </c>
      <c r="C21" s="8">
        <f ca="1">lambda*(a-B20)*dt</f>
        <v>-0.19289663291767745</v>
      </c>
      <c r="D21" s="8">
        <f ca="1">sigma*SQRT(dt)*_xlfn.NORM.S.INV(RAND())</f>
        <v>6.4658508047994538E-4</v>
      </c>
      <c r="E21" s="8">
        <f t="shared" ca="1" si="1"/>
        <v>-0.19225004783719751</v>
      </c>
      <c r="G21" s="8">
        <f t="shared" ca="1" si="2"/>
        <v>5.011283658349198</v>
      </c>
      <c r="H21" s="8">
        <f>mu*dt</f>
        <v>2.5000000000000005E-3</v>
      </c>
      <c r="I21" s="8">
        <f t="shared" ca="1" si="3"/>
        <v>6.4658508047994538E-4</v>
      </c>
      <c r="J21" s="8">
        <f t="shared" ca="1" si="4"/>
        <v>3.146585080479946E-3</v>
      </c>
      <c r="L21" s="8">
        <f t="shared" ca="1" si="5"/>
        <v>5.053771897752422</v>
      </c>
      <c r="M21" s="8">
        <f ca="1">mu*L20*dt</f>
        <v>1.2594799137323909E-2</v>
      </c>
      <c r="N21" s="8">
        <f t="shared" ca="1" si="6"/>
        <v>3.2574436855341304E-3</v>
      </c>
      <c r="O21" s="8">
        <f t="shared" ca="1" si="7"/>
        <v>1.5852242822858041E-2</v>
      </c>
      <c r="Q21" s="7">
        <f t="shared" si="8"/>
        <v>0.49999999999999994</v>
      </c>
      <c r="R21" s="8">
        <f t="shared" ca="1" si="9"/>
        <v>1.7367162813395767</v>
      </c>
      <c r="S21" s="8">
        <f t="shared" ca="1" si="10"/>
        <v>5.011283658349198</v>
      </c>
      <c r="T21" s="8">
        <f t="shared" ca="1" si="11"/>
        <v>5.053771897752422</v>
      </c>
    </row>
    <row r="22" spans="1:20" x14ac:dyDescent="0.25">
      <c r="A22" s="7">
        <f>A21+dt</f>
        <v>0.54999999999999993</v>
      </c>
      <c r="B22" s="8">
        <f t="shared" ca="1" si="0"/>
        <v>1.5597549269772895</v>
      </c>
      <c r="C22" s="8">
        <f ca="1">lambda*(a-B21)*dt</f>
        <v>-0.17367162813395767</v>
      </c>
      <c r="D22" s="8">
        <f ca="1">sigma*SQRT(dt)*_xlfn.NORM.S.INV(RAND())</f>
        <v>-3.2897262283294241E-3</v>
      </c>
      <c r="E22" s="8">
        <f t="shared" ca="1" si="1"/>
        <v>-0.1769613543622871</v>
      </c>
      <c r="G22" s="8">
        <f t="shared" ca="1" si="2"/>
        <v>5.0104939321208688</v>
      </c>
      <c r="H22" s="8">
        <f>mu*dt</f>
        <v>2.5000000000000005E-3</v>
      </c>
      <c r="I22" s="8">
        <f t="shared" ca="1" si="3"/>
        <v>-3.2897262283294241E-3</v>
      </c>
      <c r="J22" s="8">
        <f t="shared" ca="1" si="4"/>
        <v>-7.8972622832942365E-4</v>
      </c>
      <c r="L22" s="8">
        <f t="shared" ca="1" si="5"/>
        <v>5.0497808015327728</v>
      </c>
      <c r="M22" s="8">
        <f ca="1">mu*L21*dt</f>
        <v>1.2634429744381058E-2</v>
      </c>
      <c r="N22" s="8">
        <f t="shared" ca="1" si="6"/>
        <v>-1.6625525964030313E-2</v>
      </c>
      <c r="O22" s="8">
        <f t="shared" ca="1" si="7"/>
        <v>-3.9910962196492549E-3</v>
      </c>
      <c r="Q22" s="7">
        <f t="shared" si="8"/>
        <v>0.54999999999999993</v>
      </c>
      <c r="R22" s="8">
        <f t="shared" ca="1" si="9"/>
        <v>1.5597549269772895</v>
      </c>
      <c r="S22" s="8">
        <f t="shared" ca="1" si="10"/>
        <v>5.0104939321208688</v>
      </c>
      <c r="T22" s="8">
        <f t="shared" ca="1" si="11"/>
        <v>5.0497808015327728</v>
      </c>
    </row>
    <row r="23" spans="1:20" x14ac:dyDescent="0.25">
      <c r="A23" s="7">
        <f>A22+dt</f>
        <v>0.6</v>
      </c>
      <c r="B23" s="8">
        <f t="shared" ca="1" si="0"/>
        <v>1.4175756946474507</v>
      </c>
      <c r="C23" s="8">
        <f ca="1">lambda*(a-B22)*dt</f>
        <v>-0.15597549269772895</v>
      </c>
      <c r="D23" s="8">
        <f ca="1">sigma*SQRT(dt)*_xlfn.NORM.S.INV(RAND())</f>
        <v>1.3796260367890278E-2</v>
      </c>
      <c r="E23" s="8">
        <f t="shared" ca="1" si="1"/>
        <v>-0.14217923232983867</v>
      </c>
      <c r="G23" s="8">
        <f t="shared" ca="1" si="2"/>
        <v>5.0267901924887592</v>
      </c>
      <c r="H23" s="8">
        <f>mu*dt</f>
        <v>2.5000000000000005E-3</v>
      </c>
      <c r="I23" s="8">
        <f t="shared" ca="1" si="3"/>
        <v>1.3796260367890278E-2</v>
      </c>
      <c r="J23" s="8">
        <f t="shared" ca="1" si="4"/>
        <v>1.6296260367890281E-2</v>
      </c>
      <c r="L23" s="8">
        <f t="shared" ca="1" si="5"/>
        <v>5.1320733442753248</v>
      </c>
      <c r="M23" s="8">
        <f ca="1">mu*L22*dt</f>
        <v>1.2624452003831933E-2</v>
      </c>
      <c r="N23" s="8">
        <f t="shared" ca="1" si="6"/>
        <v>6.9668090738719796E-2</v>
      </c>
      <c r="O23" s="8">
        <f t="shared" ca="1" si="7"/>
        <v>8.2292542742551725E-2</v>
      </c>
      <c r="Q23" s="7">
        <f t="shared" si="8"/>
        <v>0.6</v>
      </c>
      <c r="R23" s="8">
        <f t="shared" ca="1" si="9"/>
        <v>1.4175756946474507</v>
      </c>
      <c r="S23" s="8">
        <f t="shared" ca="1" si="10"/>
        <v>5.0267901924887592</v>
      </c>
      <c r="T23" s="8">
        <f t="shared" ca="1" si="11"/>
        <v>5.1320733442753248</v>
      </c>
    </row>
    <row r="24" spans="1:20" x14ac:dyDescent="0.25">
      <c r="A24" s="7">
        <f>A23+dt</f>
        <v>0.65</v>
      </c>
      <c r="B24" s="8">
        <f t="shared" ca="1" si="0"/>
        <v>1.2727386748727767</v>
      </c>
      <c r="C24" s="8">
        <f ca="1">lambda*(a-B23)*dt</f>
        <v>-0.14175756946474508</v>
      </c>
      <c r="D24" s="8">
        <f ca="1">sigma*SQRT(dt)*_xlfn.NORM.S.INV(RAND())</f>
        <v>-3.0794503099289914E-3</v>
      </c>
      <c r="E24" s="8">
        <f t="shared" ca="1" si="1"/>
        <v>-0.14483701977467406</v>
      </c>
      <c r="G24" s="8">
        <f t="shared" ca="1" si="2"/>
        <v>5.0262107421788302</v>
      </c>
      <c r="H24" s="8">
        <f>mu*dt</f>
        <v>2.5000000000000005E-3</v>
      </c>
      <c r="I24" s="8">
        <f t="shared" ca="1" si="3"/>
        <v>-3.0794503099289914E-3</v>
      </c>
      <c r="J24" s="8">
        <f t="shared" ca="1" si="4"/>
        <v>-5.7945030992899091E-4</v>
      </c>
      <c r="L24" s="8">
        <f t="shared" ca="1" si="5"/>
        <v>5.1290995627854059</v>
      </c>
      <c r="M24" s="8">
        <f ca="1">mu*L23*dt</f>
        <v>1.2830183360688314E-2</v>
      </c>
      <c r="N24" s="8">
        <f t="shared" ca="1" si="6"/>
        <v>-1.5803964850606964E-2</v>
      </c>
      <c r="O24" s="8">
        <f t="shared" ca="1" si="7"/>
        <v>-2.973781489918649E-3</v>
      </c>
      <c r="Q24" s="7">
        <f t="shared" si="8"/>
        <v>0.65</v>
      </c>
      <c r="R24" s="8">
        <f t="shared" ca="1" si="9"/>
        <v>1.2727386748727767</v>
      </c>
      <c r="S24" s="8">
        <f t="shared" ca="1" si="10"/>
        <v>5.0262107421788302</v>
      </c>
      <c r="T24" s="8">
        <f t="shared" ca="1" si="11"/>
        <v>5.1290995627854059</v>
      </c>
    </row>
    <row r="25" spans="1:20" x14ac:dyDescent="0.25">
      <c r="A25" s="7">
        <f>A24+dt</f>
        <v>0.70000000000000007</v>
      </c>
      <c r="B25" s="8">
        <f t="shared" ca="1" si="0"/>
        <v>1.1348730694083282</v>
      </c>
      <c r="C25" s="8">
        <f ca="1">lambda*(a-B24)*dt</f>
        <v>-0.12727386748727768</v>
      </c>
      <c r="D25" s="8">
        <f ca="1">sigma*SQRT(dt)*_xlfn.NORM.S.INV(RAND())</f>
        <v>-1.0591737977170819E-2</v>
      </c>
      <c r="E25" s="8">
        <f t="shared" ca="1" si="1"/>
        <v>-0.13786560546444848</v>
      </c>
      <c r="G25" s="8">
        <f t="shared" ca="1" si="2"/>
        <v>5.018119004201659</v>
      </c>
      <c r="H25" s="8">
        <f>mu*dt</f>
        <v>2.5000000000000005E-3</v>
      </c>
      <c r="I25" s="8">
        <f t="shared" ca="1" si="3"/>
        <v>-1.0591737977170819E-2</v>
      </c>
      <c r="J25" s="8">
        <f t="shared" ca="1" si="4"/>
        <v>-8.0917379771708181E-3</v>
      </c>
      <c r="L25" s="8">
        <f t="shared" ca="1" si="5"/>
        <v>5.0875962330645246</v>
      </c>
      <c r="M25" s="8">
        <f ca="1">mu*L24*dt</f>
        <v>1.2822748906963517E-2</v>
      </c>
      <c r="N25" s="8">
        <f t="shared" ca="1" si="6"/>
        <v>-5.4326078627844422E-2</v>
      </c>
      <c r="O25" s="8">
        <f t="shared" ca="1" si="7"/>
        <v>-4.1503329720880902E-2</v>
      </c>
      <c r="Q25" s="7">
        <f t="shared" si="8"/>
        <v>0.70000000000000007</v>
      </c>
      <c r="R25" s="8">
        <f t="shared" ca="1" si="9"/>
        <v>1.1348730694083282</v>
      </c>
      <c r="S25" s="8">
        <f t="shared" ca="1" si="10"/>
        <v>5.018119004201659</v>
      </c>
      <c r="T25" s="8">
        <f t="shared" ca="1" si="11"/>
        <v>5.0875962330645246</v>
      </c>
    </row>
    <row r="26" spans="1:20" x14ac:dyDescent="0.25">
      <c r="A26" s="7">
        <f>A25+dt</f>
        <v>0.75000000000000011</v>
      </c>
      <c r="B26" s="8">
        <f t="shared" ca="1" si="0"/>
        <v>1.0226315579006029</v>
      </c>
      <c r="C26" s="8">
        <f ca="1">lambda*(a-B25)*dt</f>
        <v>-0.11348730694083282</v>
      </c>
      <c r="D26" s="8">
        <f ca="1">sigma*SQRT(dt)*_xlfn.NORM.S.INV(RAND())</f>
        <v>1.2457954331074794E-3</v>
      </c>
      <c r="E26" s="8">
        <f t="shared" ca="1" si="1"/>
        <v>-0.11224151150772535</v>
      </c>
      <c r="G26" s="8">
        <f t="shared" ca="1" si="2"/>
        <v>5.0218647996347663</v>
      </c>
      <c r="H26" s="8">
        <f>mu*dt</f>
        <v>2.5000000000000005E-3</v>
      </c>
      <c r="I26" s="8">
        <f t="shared" ca="1" si="3"/>
        <v>1.2457954331074794E-3</v>
      </c>
      <c r="J26" s="8">
        <f t="shared" ca="1" si="4"/>
        <v>3.7457954331074801E-3</v>
      </c>
      <c r="L26" s="8">
        <f t="shared" ca="1" si="5"/>
        <v>5.1066533277998323</v>
      </c>
      <c r="M26" s="8">
        <f ca="1">mu*L25*dt</f>
        <v>1.2718990582661314E-2</v>
      </c>
      <c r="N26" s="8">
        <f t="shared" ca="1" si="6"/>
        <v>6.3381041526466E-3</v>
      </c>
      <c r="O26" s="8">
        <f t="shared" ca="1" si="7"/>
        <v>1.9057094735307915E-2</v>
      </c>
      <c r="Q26" s="7">
        <f t="shared" si="8"/>
        <v>0.75000000000000011</v>
      </c>
      <c r="R26" s="8">
        <f t="shared" ca="1" si="9"/>
        <v>1.0226315579006029</v>
      </c>
      <c r="S26" s="8">
        <f t="shared" ca="1" si="10"/>
        <v>5.0218647996347663</v>
      </c>
      <c r="T26" s="8">
        <f t="shared" ca="1" si="11"/>
        <v>5.1066533277998323</v>
      </c>
    </row>
    <row r="27" spans="1:20" x14ac:dyDescent="0.25">
      <c r="A27" s="7">
        <f>A26+dt</f>
        <v>0.80000000000000016</v>
      </c>
      <c r="B27" s="8">
        <f t="shared" ca="1" si="0"/>
        <v>0.90777008386879832</v>
      </c>
      <c r="C27" s="8">
        <f ca="1">lambda*(a-B26)*dt</f>
        <v>-0.10226315579006029</v>
      </c>
      <c r="D27" s="8">
        <f ca="1">sigma*SQRT(dt)*_xlfn.NORM.S.INV(RAND())</f>
        <v>-1.2598318241744235E-2</v>
      </c>
      <c r="E27" s="8">
        <f t="shared" ca="1" si="1"/>
        <v>-0.11486147403180452</v>
      </c>
      <c r="G27" s="8">
        <f t="shared" ca="1" si="2"/>
        <v>5.0117664813930221</v>
      </c>
      <c r="H27" s="8">
        <f>mu*dt</f>
        <v>2.5000000000000005E-3</v>
      </c>
      <c r="I27" s="8">
        <f t="shared" ca="1" si="3"/>
        <v>-1.2598318241744235E-2</v>
      </c>
      <c r="J27" s="8">
        <f t="shared" ca="1" si="4"/>
        <v>-1.0098318241744234E-2</v>
      </c>
      <c r="L27" s="8">
        <f t="shared" ca="1" si="5"/>
        <v>5.055084717345447</v>
      </c>
      <c r="M27" s="8">
        <f ca="1">mu*L26*dt</f>
        <v>1.2766633319499582E-2</v>
      </c>
      <c r="N27" s="8">
        <f t="shared" ca="1" si="6"/>
        <v>-6.4335243773884526E-2</v>
      </c>
      <c r="O27" s="8">
        <f t="shared" ca="1" si="7"/>
        <v>-5.1568610454384947E-2</v>
      </c>
      <c r="Q27" s="7">
        <f t="shared" si="8"/>
        <v>0.80000000000000016</v>
      </c>
      <c r="R27" s="8">
        <f t="shared" ca="1" si="9"/>
        <v>0.90777008386879832</v>
      </c>
      <c r="S27" s="8">
        <f t="shared" ca="1" si="10"/>
        <v>5.0117664813930221</v>
      </c>
      <c r="T27" s="8">
        <f t="shared" ca="1" si="11"/>
        <v>5.055084717345447</v>
      </c>
    </row>
    <row r="28" spans="1:20" x14ac:dyDescent="0.25">
      <c r="A28" s="7">
        <f>A27+dt</f>
        <v>0.8500000000000002</v>
      </c>
      <c r="B28" s="8">
        <f t="shared" ca="1" si="0"/>
        <v>0.81022401805586908</v>
      </c>
      <c r="C28" s="8">
        <f ca="1">lambda*(a-B27)*dt</f>
        <v>-9.077700838687984E-2</v>
      </c>
      <c r="D28" s="8">
        <f ca="1">sigma*SQRT(dt)*_xlfn.NORM.S.INV(RAND())</f>
        <v>-6.769057426049406E-3</v>
      </c>
      <c r="E28" s="8">
        <f t="shared" ca="1" si="1"/>
        <v>-9.7546065812929239E-2</v>
      </c>
      <c r="G28" s="8">
        <f t="shared" ca="1" si="2"/>
        <v>5.0074974239669725</v>
      </c>
      <c r="H28" s="8">
        <f>mu*dt</f>
        <v>2.5000000000000005E-3</v>
      </c>
      <c r="I28" s="8">
        <f t="shared" ca="1" si="3"/>
        <v>-6.769057426049406E-3</v>
      </c>
      <c r="J28" s="8">
        <f t="shared" ca="1" si="4"/>
        <v>-4.2690574260494055E-3</v>
      </c>
      <c r="L28" s="8">
        <f t="shared" ca="1" si="5"/>
        <v>5.0335042703935544</v>
      </c>
      <c r="M28" s="8">
        <f ca="1">mu*L27*dt</f>
        <v>1.2637711793363619E-2</v>
      </c>
      <c r="N28" s="8">
        <f t="shared" ca="1" si="6"/>
        <v>-3.4218158745256064E-2</v>
      </c>
      <c r="O28" s="8">
        <f t="shared" ca="1" si="7"/>
        <v>-2.1580446951892443E-2</v>
      </c>
      <c r="Q28" s="7">
        <f t="shared" si="8"/>
        <v>0.8500000000000002</v>
      </c>
      <c r="R28" s="8">
        <f t="shared" ca="1" si="9"/>
        <v>0.81022401805586908</v>
      </c>
      <c r="S28" s="8">
        <f t="shared" ca="1" si="10"/>
        <v>5.0074974239669725</v>
      </c>
      <c r="T28" s="8">
        <f t="shared" ca="1" si="11"/>
        <v>5.0335042703935544</v>
      </c>
    </row>
    <row r="29" spans="1:20" x14ac:dyDescent="0.25">
      <c r="A29" s="7">
        <f>A28+dt</f>
        <v>0.90000000000000024</v>
      </c>
      <c r="B29" s="8">
        <f t="shared" ca="1" si="0"/>
        <v>0.73493828764567959</v>
      </c>
      <c r="C29" s="8">
        <f ca="1">lambda*(a-B28)*dt</f>
        <v>-8.1022401805586911E-2</v>
      </c>
      <c r="D29" s="8">
        <f ca="1">sigma*SQRT(dt)*_xlfn.NORM.S.INV(RAND())</f>
        <v>5.7366713953974392E-3</v>
      </c>
      <c r="E29" s="8">
        <f t="shared" ca="1" si="1"/>
        <v>-7.5285730410189475E-2</v>
      </c>
      <c r="G29" s="8">
        <f t="shared" ca="1" si="2"/>
        <v>5.0157340953623697</v>
      </c>
      <c r="H29" s="8">
        <f>mu*dt</f>
        <v>2.5000000000000005E-3</v>
      </c>
      <c r="I29" s="8">
        <f t="shared" ca="1" si="3"/>
        <v>5.7366713953974392E-3</v>
      </c>
      <c r="J29" s="8">
        <f t="shared" ca="1" si="4"/>
        <v>8.2366713953974397E-3</v>
      </c>
      <c r="L29" s="8">
        <f t="shared" ca="1" si="5"/>
        <v>5.0749635910361155</v>
      </c>
      <c r="M29" s="8">
        <f ca="1">mu*L28*dt</f>
        <v>1.2583760675983888E-2</v>
      </c>
      <c r="N29" s="8">
        <f t="shared" ca="1" si="6"/>
        <v>2.887555996657756E-2</v>
      </c>
      <c r="O29" s="8">
        <f t="shared" ca="1" si="7"/>
        <v>4.1459320642561449E-2</v>
      </c>
      <c r="Q29" s="7">
        <f t="shared" si="8"/>
        <v>0.90000000000000024</v>
      </c>
      <c r="R29" s="8">
        <f t="shared" ca="1" si="9"/>
        <v>0.73493828764567959</v>
      </c>
      <c r="S29" s="8">
        <f t="shared" ca="1" si="10"/>
        <v>5.0157340953623697</v>
      </c>
      <c r="T29" s="8">
        <f t="shared" ca="1" si="11"/>
        <v>5.0749635910361155</v>
      </c>
    </row>
    <row r="30" spans="1:20" x14ac:dyDescent="0.25">
      <c r="A30" s="7">
        <f>A29+dt</f>
        <v>0.95000000000000029</v>
      </c>
      <c r="B30" s="8">
        <f t="shared" ca="1" si="0"/>
        <v>0.64823195749509643</v>
      </c>
      <c r="C30" s="8">
        <f ca="1">lambda*(a-B29)*dt</f>
        <v>-7.3493828764567962E-2</v>
      </c>
      <c r="D30" s="8">
        <f ca="1">sigma*SQRT(dt)*_xlfn.NORM.S.INV(RAND())</f>
        <v>-1.3212501386015223E-2</v>
      </c>
      <c r="E30" s="8">
        <f t="shared" ca="1" si="1"/>
        <v>-8.6706330150583183E-2</v>
      </c>
      <c r="G30" s="8">
        <f t="shared" ca="1" si="2"/>
        <v>5.0050215939763545</v>
      </c>
      <c r="H30" s="8">
        <f>mu*dt</f>
        <v>2.5000000000000005E-3</v>
      </c>
      <c r="I30" s="8">
        <f t="shared" ca="1" si="3"/>
        <v>-1.3212501386015223E-2</v>
      </c>
      <c r="J30" s="8">
        <f t="shared" ca="1" si="4"/>
        <v>-1.0712501386015223E-2</v>
      </c>
      <c r="L30" s="8">
        <f t="shared" ca="1" si="5"/>
        <v>5.0205980365331646</v>
      </c>
      <c r="M30" s="8">
        <f ca="1">mu*L29*dt</f>
        <v>1.2687408977590291E-2</v>
      </c>
      <c r="N30" s="8">
        <f t="shared" ca="1" si="6"/>
        <v>-6.7052963480541475E-2</v>
      </c>
      <c r="O30" s="8">
        <f t="shared" ca="1" si="7"/>
        <v>-5.4365554502951184E-2</v>
      </c>
      <c r="Q30" s="7">
        <f t="shared" si="8"/>
        <v>0.95000000000000029</v>
      </c>
      <c r="R30" s="8">
        <f t="shared" ca="1" si="9"/>
        <v>0.64823195749509643</v>
      </c>
      <c r="S30" s="8">
        <f t="shared" ca="1" si="10"/>
        <v>5.0050215939763545</v>
      </c>
      <c r="T30" s="8">
        <f t="shared" ca="1" si="11"/>
        <v>5.0205980365331646</v>
      </c>
    </row>
    <row r="31" spans="1:20" x14ac:dyDescent="0.25">
      <c r="A31" s="7">
        <f>A30+dt</f>
        <v>1.0000000000000002</v>
      </c>
      <c r="B31" s="8">
        <f t="shared" ca="1" si="0"/>
        <v>0.57421321209484388</v>
      </c>
      <c r="C31" s="8">
        <f ca="1">lambda*(a-B30)*dt</f>
        <v>-6.4823195749509649E-2</v>
      </c>
      <c r="D31" s="8">
        <f ca="1">sigma*SQRT(dt)*_xlfn.NORM.S.INV(RAND())</f>
        <v>-9.1955496507428579E-3</v>
      </c>
      <c r="E31" s="8">
        <f t="shared" ca="1" si="1"/>
        <v>-7.4018745400252509E-2</v>
      </c>
      <c r="G31" s="8">
        <f t="shared" ca="1" si="2"/>
        <v>4.9983260443256112</v>
      </c>
      <c r="H31" s="8">
        <f>mu*dt</f>
        <v>2.5000000000000005E-3</v>
      </c>
      <c r="I31" s="8">
        <f t="shared" ca="1" si="3"/>
        <v>-9.1955496507428579E-3</v>
      </c>
      <c r="J31" s="8">
        <f t="shared" ca="1" si="4"/>
        <v>-6.6955496507428575E-3</v>
      </c>
      <c r="L31" s="8">
        <f t="shared" ca="1" si="5"/>
        <v>4.9869823731031344</v>
      </c>
      <c r="M31" s="8">
        <f ca="1">mu*L30*dt</f>
        <v>1.2551495091332913E-2</v>
      </c>
      <c r="N31" s="8">
        <f t="shared" ca="1" si="6"/>
        <v>-4.6167158521362821E-2</v>
      </c>
      <c r="O31" s="8">
        <f t="shared" ca="1" si="7"/>
        <v>-3.3615663430029905E-2</v>
      </c>
      <c r="Q31" s="7">
        <f t="shared" si="8"/>
        <v>1.0000000000000002</v>
      </c>
      <c r="R31" s="8">
        <f t="shared" ca="1" si="9"/>
        <v>0.57421321209484388</v>
      </c>
      <c r="S31" s="8">
        <f t="shared" ca="1" si="10"/>
        <v>4.9983260443256112</v>
      </c>
      <c r="T31" s="8">
        <f t="shared" ca="1" si="11"/>
        <v>4.9869823731031344</v>
      </c>
    </row>
    <row r="32" spans="1:20" x14ac:dyDescent="0.25">
      <c r="A32" s="7">
        <f>A31+dt</f>
        <v>1.0500000000000003</v>
      </c>
      <c r="B32" s="8">
        <f t="shared" ca="1" si="0"/>
        <v>0.50360306801826993</v>
      </c>
      <c r="C32" s="8">
        <f ca="1">lambda*(a-B31)*dt</f>
        <v>-5.7421321209484393E-2</v>
      </c>
      <c r="D32" s="8">
        <f ca="1">sigma*SQRT(dt)*_xlfn.NORM.S.INV(RAND())</f>
        <v>-1.3188822867089549E-2</v>
      </c>
      <c r="E32" s="8">
        <f t="shared" ca="1" si="1"/>
        <v>-7.0610144076573941E-2</v>
      </c>
      <c r="G32" s="8">
        <f t="shared" ca="1" si="2"/>
        <v>4.9876372214585221</v>
      </c>
      <c r="H32" s="8">
        <f>mu*dt</f>
        <v>2.5000000000000005E-3</v>
      </c>
      <c r="I32" s="8">
        <f t="shared" ca="1" si="3"/>
        <v>-1.3188822867089549E-2</v>
      </c>
      <c r="J32" s="8">
        <f t="shared" ca="1" si="4"/>
        <v>-1.0688822867089548E-2</v>
      </c>
      <c r="L32" s="8">
        <f t="shared" ca="1" si="5"/>
        <v>4.9336774018757374</v>
      </c>
      <c r="M32" s="8">
        <f ca="1">mu*L31*dt</f>
        <v>1.2467455932757839E-2</v>
      </c>
      <c r="N32" s="8">
        <f t="shared" ca="1" si="6"/>
        <v>-6.577242716015512E-2</v>
      </c>
      <c r="O32" s="8">
        <f t="shared" ca="1" si="7"/>
        <v>-5.3304971227397281E-2</v>
      </c>
      <c r="Q32" s="7">
        <f t="shared" si="8"/>
        <v>1.0500000000000003</v>
      </c>
      <c r="R32" s="8">
        <f t="shared" ca="1" si="9"/>
        <v>0.50360306801826993</v>
      </c>
      <c r="S32" s="8">
        <f t="shared" ca="1" si="10"/>
        <v>4.9876372214585221</v>
      </c>
      <c r="T32" s="8">
        <f t="shared" ca="1" si="11"/>
        <v>4.9336774018757374</v>
      </c>
    </row>
    <row r="33" spans="1:20" x14ac:dyDescent="0.25">
      <c r="A33" s="7">
        <f>A32+dt</f>
        <v>1.1000000000000003</v>
      </c>
      <c r="B33" s="8">
        <f t="shared" ca="1" si="0"/>
        <v>0.4615170861273048</v>
      </c>
      <c r="C33" s="8">
        <f ca="1">lambda*(a-B32)*dt</f>
        <v>-5.0360306801826994E-2</v>
      </c>
      <c r="D33" s="8">
        <f ca="1">sigma*SQRT(dt)*_xlfn.NORM.S.INV(RAND())</f>
        <v>8.2743249108618491E-3</v>
      </c>
      <c r="E33" s="8">
        <f t="shared" ca="1" si="1"/>
        <v>-4.2085981890965143E-2</v>
      </c>
      <c r="G33" s="8">
        <f t="shared" ca="1" si="2"/>
        <v>4.9984115463693843</v>
      </c>
      <c r="H33" s="8">
        <f>mu*dt</f>
        <v>2.5000000000000005E-3</v>
      </c>
      <c r="I33" s="8">
        <f t="shared" ca="1" si="3"/>
        <v>8.2743249108618491E-3</v>
      </c>
      <c r="J33" s="8">
        <f t="shared" ca="1" si="4"/>
        <v>1.077432491086185E-2</v>
      </c>
      <c r="L33" s="8">
        <f t="shared" ca="1" si="5"/>
        <v>4.9868344452089231</v>
      </c>
      <c r="M33" s="8">
        <f ca="1">mu*L32*dt</f>
        <v>1.2334193504689346E-2</v>
      </c>
      <c r="N33" s="8">
        <f t="shared" ca="1" si="6"/>
        <v>4.0822849828496578E-2</v>
      </c>
      <c r="O33" s="8">
        <f t="shared" ca="1" si="7"/>
        <v>5.3157043333185924E-2</v>
      </c>
      <c r="Q33" s="7">
        <f t="shared" si="8"/>
        <v>1.1000000000000003</v>
      </c>
      <c r="R33" s="8">
        <f t="shared" ca="1" si="9"/>
        <v>0.4615170861273048</v>
      </c>
      <c r="S33" s="8">
        <f t="shared" ca="1" si="10"/>
        <v>4.9984115463693843</v>
      </c>
      <c r="T33" s="8">
        <f t="shared" ca="1" si="11"/>
        <v>4.9868344452089231</v>
      </c>
    </row>
    <row r="34" spans="1:20" x14ac:dyDescent="0.25">
      <c r="A34" s="7">
        <f>A33+dt</f>
        <v>1.1500000000000004</v>
      </c>
      <c r="B34" s="8">
        <f t="shared" ca="1" si="0"/>
        <v>0.41702313762175214</v>
      </c>
      <c r="C34" s="8">
        <f ca="1">lambda*(a-B33)*dt</f>
        <v>-4.6151708612730484E-2</v>
      </c>
      <c r="D34" s="8">
        <f ca="1">sigma*SQRT(dt)*_xlfn.NORM.S.INV(RAND())</f>
        <v>1.657760107177819E-3</v>
      </c>
      <c r="E34" s="8">
        <f t="shared" ca="1" si="1"/>
        <v>-4.4493948505552668E-2</v>
      </c>
      <c r="G34" s="8">
        <f t="shared" ca="1" si="2"/>
        <v>5.0025693064765617</v>
      </c>
      <c r="H34" s="8">
        <f>mu*dt</f>
        <v>2.5000000000000005E-3</v>
      </c>
      <c r="I34" s="8">
        <f t="shared" ca="1" si="3"/>
        <v>1.657760107177819E-3</v>
      </c>
      <c r="J34" s="8">
        <f t="shared" ca="1" si="4"/>
        <v>4.1577601071778195E-3</v>
      </c>
      <c r="L34" s="8">
        <f t="shared" ca="1" si="5"/>
        <v>5.0075685065263134</v>
      </c>
      <c r="M34" s="8">
        <f ca="1">mu*L33*dt</f>
        <v>1.2467086113022309E-2</v>
      </c>
      <c r="N34" s="8">
        <f t="shared" ca="1" si="6"/>
        <v>8.2669752043675847E-3</v>
      </c>
      <c r="O34" s="8">
        <f t="shared" ca="1" si="7"/>
        <v>2.0734061317389894E-2</v>
      </c>
      <c r="Q34" s="7">
        <f t="shared" si="8"/>
        <v>1.1500000000000004</v>
      </c>
      <c r="R34" s="8">
        <f t="shared" ca="1" si="9"/>
        <v>0.41702313762175214</v>
      </c>
      <c r="S34" s="8">
        <f t="shared" ca="1" si="10"/>
        <v>5.0025693064765617</v>
      </c>
      <c r="T34" s="8">
        <f t="shared" ca="1" si="11"/>
        <v>5.0075685065263134</v>
      </c>
    </row>
    <row r="35" spans="1:20" x14ac:dyDescent="0.25">
      <c r="A35" s="7">
        <f>A34+dt</f>
        <v>1.2000000000000004</v>
      </c>
      <c r="B35" s="8">
        <f t="shared" ca="1" si="0"/>
        <v>0.36976855420452598</v>
      </c>
      <c r="C35" s="8">
        <f ca="1">lambda*(a-B34)*dt</f>
        <v>-4.1702313762175217E-2</v>
      </c>
      <c r="D35" s="8">
        <f ca="1">sigma*SQRT(dt)*_xlfn.NORM.S.INV(RAND())</f>
        <v>-5.5522696550509287E-3</v>
      </c>
      <c r="E35" s="8">
        <f t="shared" ca="1" si="1"/>
        <v>-4.7254583417226145E-2</v>
      </c>
      <c r="G35" s="8">
        <f t="shared" ca="1" si="2"/>
        <v>4.9995170368215112</v>
      </c>
      <c r="H35" s="8">
        <f>mu*dt</f>
        <v>2.5000000000000005E-3</v>
      </c>
      <c r="I35" s="8">
        <f t="shared" ca="1" si="3"/>
        <v>-5.5522696550509287E-3</v>
      </c>
      <c r="J35" s="8">
        <f t="shared" ca="1" si="4"/>
        <v>-3.0522696550509282E-3</v>
      </c>
      <c r="L35" s="8">
        <f t="shared" ca="1" si="5"/>
        <v>4.9922840571282547</v>
      </c>
      <c r="M35" s="8">
        <f ca="1">mu*L34*dt</f>
        <v>1.2518921266315784E-2</v>
      </c>
      <c r="N35" s="8">
        <f t="shared" ca="1" si="6"/>
        <v>-2.7803370664374747E-2</v>
      </c>
      <c r="O35" s="8">
        <f t="shared" ca="1" si="7"/>
        <v>-1.5284449398058963E-2</v>
      </c>
      <c r="Q35" s="7">
        <f t="shared" si="8"/>
        <v>1.2000000000000004</v>
      </c>
      <c r="R35" s="8">
        <f t="shared" ca="1" si="9"/>
        <v>0.36976855420452598</v>
      </c>
      <c r="S35" s="8">
        <f t="shared" ca="1" si="10"/>
        <v>4.9995170368215112</v>
      </c>
      <c r="T35" s="8">
        <f t="shared" ca="1" si="11"/>
        <v>4.9922840571282547</v>
      </c>
    </row>
    <row r="36" spans="1:20" x14ac:dyDescent="0.25">
      <c r="A36" s="7">
        <f>A35+dt</f>
        <v>1.2500000000000004</v>
      </c>
      <c r="B36" s="8">
        <f t="shared" ca="1" si="0"/>
        <v>0.33657239989880605</v>
      </c>
      <c r="C36" s="8">
        <f ca="1">lambda*(a-B35)*dt</f>
        <v>-3.6976855420452599E-2</v>
      </c>
      <c r="D36" s="8">
        <f ca="1">sigma*SQRT(dt)*_xlfn.NORM.S.INV(RAND())</f>
        <v>3.7807011147326848E-3</v>
      </c>
      <c r="E36" s="8">
        <f t="shared" ca="1" si="1"/>
        <v>-3.3196154305719913E-2</v>
      </c>
      <c r="G36" s="8">
        <f t="shared" ca="1" si="2"/>
        <v>5.0057977379362439</v>
      </c>
      <c r="H36" s="8">
        <f>mu*dt</f>
        <v>2.5000000000000005E-3</v>
      </c>
      <c r="I36" s="8">
        <f t="shared" ca="1" si="3"/>
        <v>3.7807011147326848E-3</v>
      </c>
      <c r="J36" s="8">
        <f t="shared" ca="1" si="4"/>
        <v>6.2807011147326848E-3</v>
      </c>
      <c r="L36" s="8">
        <f t="shared" ca="1" si="5"/>
        <v>5.0236391011709225</v>
      </c>
      <c r="M36" s="8">
        <f ca="1">mu*L35*dt</f>
        <v>1.2480710142820638E-2</v>
      </c>
      <c r="N36" s="8">
        <f t="shared" ca="1" si="6"/>
        <v>1.8874333899847003E-2</v>
      </c>
      <c r="O36" s="8">
        <f t="shared" ca="1" si="7"/>
        <v>3.1355044042667639E-2</v>
      </c>
      <c r="Q36" s="7">
        <f t="shared" si="8"/>
        <v>1.2500000000000004</v>
      </c>
      <c r="R36" s="8">
        <f t="shared" ca="1" si="9"/>
        <v>0.33657239989880605</v>
      </c>
      <c r="S36" s="8">
        <f t="shared" ca="1" si="10"/>
        <v>5.0057977379362439</v>
      </c>
      <c r="T36" s="8">
        <f t="shared" ca="1" si="11"/>
        <v>5.0236391011709225</v>
      </c>
    </row>
    <row r="37" spans="1:20" x14ac:dyDescent="0.25">
      <c r="A37" s="7">
        <f>A36+dt</f>
        <v>1.3000000000000005</v>
      </c>
      <c r="B37" s="8">
        <f t="shared" ca="1" si="0"/>
        <v>0.31370048302463643</v>
      </c>
      <c r="C37" s="8">
        <f ca="1">lambda*(a-B36)*dt</f>
        <v>-3.3657239989880607E-2</v>
      </c>
      <c r="D37" s="8">
        <f ca="1">sigma*SQRT(dt)*_xlfn.NORM.S.INV(RAND())</f>
        <v>1.0785323115711004E-2</v>
      </c>
      <c r="E37" s="8">
        <f t="shared" ca="1" si="1"/>
        <v>-2.2871916874169604E-2</v>
      </c>
      <c r="G37" s="8">
        <f t="shared" ca="1" si="2"/>
        <v>5.0190830610519548</v>
      </c>
      <c r="H37" s="8">
        <f>mu*dt</f>
        <v>2.5000000000000005E-3</v>
      </c>
      <c r="I37" s="8">
        <f t="shared" ca="1" si="3"/>
        <v>1.0785323115711004E-2</v>
      </c>
      <c r="J37" s="8">
        <f t="shared" ca="1" si="4"/>
        <v>1.3285323115711005E-2</v>
      </c>
      <c r="L37" s="8">
        <f t="shared" ca="1" si="5"/>
        <v>5.0903797698466979</v>
      </c>
      <c r="M37" s="8">
        <f ca="1">mu*L36*dt</f>
        <v>1.2559097752927307E-2</v>
      </c>
      <c r="N37" s="8">
        <f t="shared" ca="1" si="6"/>
        <v>5.4181570922848407E-2</v>
      </c>
      <c r="O37" s="8">
        <f t="shared" ca="1" si="7"/>
        <v>6.6740668675775716E-2</v>
      </c>
      <c r="Q37" s="7">
        <f t="shared" si="8"/>
        <v>1.3000000000000005</v>
      </c>
      <c r="R37" s="8">
        <f t="shared" ca="1" si="9"/>
        <v>0.31370048302463643</v>
      </c>
      <c r="S37" s="8">
        <f t="shared" ca="1" si="10"/>
        <v>5.0190830610519548</v>
      </c>
      <c r="T37" s="8">
        <f t="shared" ca="1" si="11"/>
        <v>5.0903797698466979</v>
      </c>
    </row>
    <row r="38" spans="1:20" x14ac:dyDescent="0.25">
      <c r="A38" s="7">
        <f>A37+dt</f>
        <v>1.3500000000000005</v>
      </c>
      <c r="B38" s="8">
        <f t="shared" ca="1" si="0"/>
        <v>0.27776177678906799</v>
      </c>
      <c r="C38" s="8">
        <f ca="1">lambda*(a-B37)*dt</f>
        <v>-3.1370048302463642E-2</v>
      </c>
      <c r="D38" s="8">
        <f ca="1">sigma*SQRT(dt)*_xlfn.NORM.S.INV(RAND())</f>
        <v>-4.5686579331048055E-3</v>
      </c>
      <c r="E38" s="8">
        <f t="shared" ca="1" si="1"/>
        <v>-3.5938706235568448E-2</v>
      </c>
      <c r="G38" s="8">
        <f t="shared" ca="1" si="2"/>
        <v>5.0170144031188499</v>
      </c>
      <c r="H38" s="8">
        <f>mu*dt</f>
        <v>2.5000000000000005E-3</v>
      </c>
      <c r="I38" s="8">
        <f t="shared" ca="1" si="3"/>
        <v>-4.5686579331048055E-3</v>
      </c>
      <c r="J38" s="8">
        <f t="shared" ca="1" si="4"/>
        <v>-2.068657933104805E-3</v>
      </c>
      <c r="L38" s="8">
        <f t="shared" ca="1" si="5"/>
        <v>5.0798495153532883</v>
      </c>
      <c r="M38" s="8">
        <f ca="1">mu*L37*dt</f>
        <v>1.2725949424616745E-2</v>
      </c>
      <c r="N38" s="8">
        <f t="shared" ca="1" si="6"/>
        <v>-2.3256203918026332E-2</v>
      </c>
      <c r="O38" s="8">
        <f t="shared" ca="1" si="7"/>
        <v>-1.0530254493409587E-2</v>
      </c>
      <c r="Q38" s="7">
        <f t="shared" si="8"/>
        <v>1.3500000000000005</v>
      </c>
      <c r="R38" s="8">
        <f t="shared" ca="1" si="9"/>
        <v>0.27776177678906799</v>
      </c>
      <c r="S38" s="8">
        <f t="shared" ca="1" si="10"/>
        <v>5.0170144031188499</v>
      </c>
      <c r="T38" s="8">
        <f t="shared" ca="1" si="11"/>
        <v>5.0798495153532883</v>
      </c>
    </row>
    <row r="39" spans="1:20" x14ac:dyDescent="0.25">
      <c r="A39" s="7">
        <f>A38+dt</f>
        <v>1.4000000000000006</v>
      </c>
      <c r="B39" s="8">
        <f t="shared" ca="1" si="0"/>
        <v>0.24891279859086515</v>
      </c>
      <c r="C39" s="8">
        <f ca="1">lambda*(a-B38)*dt</f>
        <v>-2.7776177678906801E-2</v>
      </c>
      <c r="D39" s="8">
        <f ca="1">sigma*SQRT(dt)*_xlfn.NORM.S.INV(RAND())</f>
        <v>-1.0728005192960344E-3</v>
      </c>
      <c r="E39" s="8">
        <f t="shared" ca="1" si="1"/>
        <v>-2.8848978198202837E-2</v>
      </c>
      <c r="G39" s="8">
        <f t="shared" ca="1" si="2"/>
        <v>5.0184416025995535</v>
      </c>
      <c r="H39" s="8">
        <f>mu*dt</f>
        <v>2.5000000000000005E-3</v>
      </c>
      <c r="I39" s="8">
        <f t="shared" ca="1" si="3"/>
        <v>-1.0728005192960344E-3</v>
      </c>
      <c r="J39" s="8">
        <f t="shared" ca="1" si="4"/>
        <v>1.4271994807039661E-3</v>
      </c>
      <c r="L39" s="8">
        <f t="shared" ca="1" si="5"/>
        <v>5.0870994739436552</v>
      </c>
      <c r="M39" s="8">
        <f ca="1">mu*L38*dt</f>
        <v>1.2699623788383222E-2</v>
      </c>
      <c r="N39" s="8">
        <f t="shared" ca="1" si="6"/>
        <v>-5.4496651980167161E-3</v>
      </c>
      <c r="O39" s="8">
        <f t="shared" ca="1" si="7"/>
        <v>7.2499585903665056E-3</v>
      </c>
      <c r="Q39" s="7">
        <f t="shared" si="8"/>
        <v>1.4000000000000006</v>
      </c>
      <c r="R39" s="8">
        <f t="shared" ca="1" si="9"/>
        <v>0.24891279859086515</v>
      </c>
      <c r="S39" s="8">
        <f t="shared" ca="1" si="10"/>
        <v>5.0184416025995535</v>
      </c>
      <c r="T39" s="8">
        <f t="shared" ca="1" si="11"/>
        <v>5.0870994739436552</v>
      </c>
    </row>
    <row r="40" spans="1:20" x14ac:dyDescent="0.25">
      <c r="A40" s="7">
        <f>A39+dt</f>
        <v>1.4500000000000006</v>
      </c>
      <c r="B40" s="8">
        <f t="shared" ca="1" si="0"/>
        <v>0.24537656548403206</v>
      </c>
      <c r="C40" s="8">
        <f ca="1">lambda*(a-B39)*dt</f>
        <v>-2.4891279859086516E-2</v>
      </c>
      <c r="D40" s="8">
        <f ca="1">sigma*SQRT(dt)*_xlfn.NORM.S.INV(RAND())</f>
        <v>2.1355046752253425E-2</v>
      </c>
      <c r="E40" s="8">
        <f t="shared" ca="1" si="1"/>
        <v>-3.5362331068330907E-3</v>
      </c>
      <c r="G40" s="8">
        <f t="shared" ca="1" si="2"/>
        <v>5.0422966493518073</v>
      </c>
      <c r="H40" s="8">
        <f>mu*dt</f>
        <v>2.5000000000000005E-3</v>
      </c>
      <c r="I40" s="8">
        <f t="shared" ca="1" si="3"/>
        <v>2.1355046752253425E-2</v>
      </c>
      <c r="J40" s="8">
        <f t="shared" ca="1" si="4"/>
        <v>2.3855046752253424E-2</v>
      </c>
      <c r="L40" s="8">
        <f t="shared" ca="1" si="5"/>
        <v>5.2084524697279448</v>
      </c>
      <c r="M40" s="8">
        <f ca="1">mu*L39*dt</f>
        <v>1.2717748684859141E-2</v>
      </c>
      <c r="N40" s="8">
        <f t="shared" ca="1" si="6"/>
        <v>0.10863524709943057</v>
      </c>
      <c r="O40" s="8">
        <f t="shared" ca="1" si="7"/>
        <v>0.12135299578428971</v>
      </c>
      <c r="Q40" s="7">
        <f t="shared" si="8"/>
        <v>1.4500000000000006</v>
      </c>
      <c r="R40" s="8">
        <f t="shared" ca="1" si="9"/>
        <v>0.24537656548403206</v>
      </c>
      <c r="S40" s="8">
        <f t="shared" ca="1" si="10"/>
        <v>5.0422966493518073</v>
      </c>
      <c r="T40" s="8">
        <f t="shared" ca="1" si="11"/>
        <v>5.2084524697279448</v>
      </c>
    </row>
    <row r="41" spans="1:20" x14ac:dyDescent="0.25">
      <c r="A41" s="7">
        <f>A40+dt</f>
        <v>1.5000000000000007</v>
      </c>
      <c r="B41" s="8">
        <f t="shared" ca="1" si="0"/>
        <v>0.23772114939557526</v>
      </c>
      <c r="C41" s="8">
        <f ca="1">lambda*(a-B40)*dt</f>
        <v>-2.4537656548403206E-2</v>
      </c>
      <c r="D41" s="8">
        <f ca="1">sigma*SQRT(dt)*_xlfn.NORM.S.INV(RAND())</f>
        <v>1.6882240459946407E-2</v>
      </c>
      <c r="E41" s="8">
        <f t="shared" ca="1" si="1"/>
        <v>-7.6554160884567991E-3</v>
      </c>
      <c r="G41" s="8">
        <f t="shared" ca="1" si="2"/>
        <v>5.0616788898117537</v>
      </c>
      <c r="H41" s="8">
        <f>mu*dt</f>
        <v>2.5000000000000005E-3</v>
      </c>
      <c r="I41" s="8">
        <f t="shared" ca="1" si="3"/>
        <v>1.6882240459946407E-2</v>
      </c>
      <c r="J41" s="8">
        <f t="shared" ca="1" si="4"/>
        <v>1.9382240459946409E-2</v>
      </c>
      <c r="L41" s="8">
        <f t="shared" ca="1" si="5"/>
        <v>5.3094039479204138</v>
      </c>
      <c r="M41" s="8">
        <f ca="1">mu*L40*dt</f>
        <v>1.3021131174319864E-2</v>
      </c>
      <c r="N41" s="8">
        <f t="shared" ca="1" si="6"/>
        <v>8.7930347018148905E-2</v>
      </c>
      <c r="O41" s="8">
        <f t="shared" ca="1" si="7"/>
        <v>0.10095147819246877</v>
      </c>
      <c r="Q41" s="7">
        <f t="shared" si="8"/>
        <v>1.5000000000000007</v>
      </c>
      <c r="R41" s="8">
        <f t="shared" ca="1" si="9"/>
        <v>0.23772114939557526</v>
      </c>
      <c r="S41" s="8">
        <f t="shared" ca="1" si="10"/>
        <v>5.0616788898117537</v>
      </c>
      <c r="T41" s="8">
        <f t="shared" ca="1" si="11"/>
        <v>5.3094039479204138</v>
      </c>
    </row>
    <row r="42" spans="1:20" x14ac:dyDescent="0.25">
      <c r="A42" s="7">
        <f>A41+dt</f>
        <v>1.5500000000000007</v>
      </c>
      <c r="B42" s="8">
        <f t="shared" ca="1" si="0"/>
        <v>0.21310290498398224</v>
      </c>
      <c r="C42" s="8">
        <f ca="1">lambda*(a-B41)*dt</f>
        <v>-2.3772114939557526E-2</v>
      </c>
      <c r="D42" s="8">
        <f ca="1">sigma*SQRT(dt)*_xlfn.NORM.S.INV(RAND())</f>
        <v>-8.4612947203549082E-4</v>
      </c>
      <c r="E42" s="8">
        <f t="shared" ca="1" si="1"/>
        <v>-2.4618244411593018E-2</v>
      </c>
      <c r="G42" s="8">
        <f t="shared" ca="1" si="2"/>
        <v>5.0633327603397182</v>
      </c>
      <c r="H42" s="8">
        <f>mu*dt</f>
        <v>2.5000000000000005E-3</v>
      </c>
      <c r="I42" s="8">
        <f t="shared" ca="1" si="3"/>
        <v>-8.4612947203549082E-4</v>
      </c>
      <c r="J42" s="8">
        <f t="shared" ca="1" si="4"/>
        <v>1.6538705279645098E-3</v>
      </c>
      <c r="L42" s="8">
        <f t="shared" ca="1" si="5"/>
        <v>5.318185014630938</v>
      </c>
      <c r="M42" s="8">
        <f ca="1">mu*L41*dt</f>
        <v>1.3273509869801034E-2</v>
      </c>
      <c r="N42" s="8">
        <f t="shared" ca="1" si="6"/>
        <v>-4.4924431592770504E-3</v>
      </c>
      <c r="O42" s="8">
        <f t="shared" ca="1" si="7"/>
        <v>8.781066710523984E-3</v>
      </c>
      <c r="Q42" s="7">
        <f t="shared" si="8"/>
        <v>1.5500000000000007</v>
      </c>
      <c r="R42" s="8">
        <f t="shared" ca="1" si="9"/>
        <v>0.21310290498398224</v>
      </c>
      <c r="S42" s="8">
        <f t="shared" ca="1" si="10"/>
        <v>5.0633327603397182</v>
      </c>
      <c r="T42" s="8">
        <f t="shared" ca="1" si="11"/>
        <v>5.318185014630938</v>
      </c>
    </row>
    <row r="43" spans="1:20" x14ac:dyDescent="0.25">
      <c r="A43" s="7">
        <f>A42+dt</f>
        <v>1.6000000000000008</v>
      </c>
      <c r="B43" s="8">
        <f t="shared" ca="1" si="0"/>
        <v>0.20787511597698144</v>
      </c>
      <c r="C43" s="8">
        <f ca="1">lambda*(a-B42)*dt</f>
        <v>-2.1310290498398225E-2</v>
      </c>
      <c r="D43" s="8">
        <f ca="1">sigma*SQRT(dt)*_xlfn.NORM.S.INV(RAND())</f>
        <v>1.6082501491397422E-2</v>
      </c>
      <c r="E43" s="8">
        <f t="shared" ca="1" si="1"/>
        <v>-5.2277890070008028E-3</v>
      </c>
      <c r="G43" s="8">
        <f t="shared" ca="1" si="2"/>
        <v>5.0819152618311154</v>
      </c>
      <c r="H43" s="8">
        <f>mu*dt</f>
        <v>2.5000000000000005E-3</v>
      </c>
      <c r="I43" s="8">
        <f t="shared" ca="1" si="3"/>
        <v>1.6082501491397422E-2</v>
      </c>
      <c r="J43" s="8">
        <f t="shared" ca="1" si="4"/>
        <v>1.8582501491397424E-2</v>
      </c>
      <c r="L43" s="8">
        <f t="shared" ca="1" si="5"/>
        <v>5.4170101955968448</v>
      </c>
      <c r="M43" s="8">
        <f ca="1">mu*L42*dt</f>
        <v>1.3295462536577346E-2</v>
      </c>
      <c r="N43" s="8">
        <f t="shared" ca="1" si="6"/>
        <v>8.5529718429329479E-2</v>
      </c>
      <c r="O43" s="8">
        <f t="shared" ca="1" si="7"/>
        <v>9.8825180965906825E-2</v>
      </c>
      <c r="Q43" s="7">
        <f t="shared" si="8"/>
        <v>1.6000000000000008</v>
      </c>
      <c r="R43" s="8">
        <f t="shared" ca="1" si="9"/>
        <v>0.20787511597698144</v>
      </c>
      <c r="S43" s="8">
        <f t="shared" ca="1" si="10"/>
        <v>5.0819152618311154</v>
      </c>
      <c r="T43" s="8">
        <f t="shared" ca="1" si="11"/>
        <v>5.4170101955968448</v>
      </c>
    </row>
    <row r="44" spans="1:20" x14ac:dyDescent="0.25">
      <c r="A44" s="7">
        <f>A43+dt</f>
        <v>1.6500000000000008</v>
      </c>
      <c r="B44" s="8">
        <f t="shared" ca="1" si="0"/>
        <v>0.19158828613719139</v>
      </c>
      <c r="C44" s="8">
        <f ca="1">lambda*(a-B43)*dt</f>
        <v>-2.0787511597698146E-2</v>
      </c>
      <c r="D44" s="8">
        <f ca="1">sigma*SQRT(dt)*_xlfn.NORM.S.INV(RAND())</f>
        <v>4.5006817579081046E-3</v>
      </c>
      <c r="E44" s="8">
        <f t="shared" ca="1" si="1"/>
        <v>-1.6286829839790042E-2</v>
      </c>
      <c r="G44" s="8">
        <f t="shared" ca="1" si="2"/>
        <v>5.0889159435890239</v>
      </c>
      <c r="H44" s="8">
        <f>mu*dt</f>
        <v>2.5000000000000005E-3</v>
      </c>
      <c r="I44" s="8">
        <f t="shared" ca="1" si="3"/>
        <v>4.5006817579081046E-3</v>
      </c>
      <c r="J44" s="8">
        <f t="shared" ca="1" si="4"/>
        <v>7.0006817579081051E-3</v>
      </c>
      <c r="L44" s="8">
        <f t="shared" ca="1" si="5"/>
        <v>5.4549329600555616</v>
      </c>
      <c r="M44" s="8">
        <f ca="1">mu*L43*dt</f>
        <v>1.3542525488992114E-2</v>
      </c>
      <c r="N44" s="8">
        <f t="shared" ca="1" si="6"/>
        <v>2.4380238969724934E-2</v>
      </c>
      <c r="O44" s="8">
        <f t="shared" ca="1" si="7"/>
        <v>3.7922764458717048E-2</v>
      </c>
      <c r="Q44" s="7">
        <f t="shared" si="8"/>
        <v>1.6500000000000008</v>
      </c>
      <c r="R44" s="8">
        <f t="shared" ca="1" si="9"/>
        <v>0.19158828613719139</v>
      </c>
      <c r="S44" s="8">
        <f t="shared" ca="1" si="10"/>
        <v>5.0889159435890239</v>
      </c>
      <c r="T44" s="8">
        <f t="shared" ca="1" si="11"/>
        <v>5.4549329600555616</v>
      </c>
    </row>
    <row r="45" spans="1:20" x14ac:dyDescent="0.25">
      <c r="A45" s="7">
        <f>A44+dt</f>
        <v>1.7000000000000008</v>
      </c>
      <c r="B45" s="8">
        <f t="shared" ca="1" si="0"/>
        <v>0.18075177606987725</v>
      </c>
      <c r="C45" s="8">
        <f ca="1">lambda*(a-B44)*dt</f>
        <v>-1.9158828613719141E-2</v>
      </c>
      <c r="D45" s="8">
        <f ca="1">sigma*SQRT(dt)*_xlfn.NORM.S.INV(RAND())</f>
        <v>8.3223185464049894E-3</v>
      </c>
      <c r="E45" s="8">
        <f t="shared" ca="1" si="1"/>
        <v>-1.0836510067314151E-2</v>
      </c>
      <c r="G45" s="8">
        <f t="shared" ca="1" si="2"/>
        <v>5.0997382621354292</v>
      </c>
      <c r="H45" s="8">
        <f>mu*dt</f>
        <v>2.5000000000000005E-3</v>
      </c>
      <c r="I45" s="8">
        <f t="shared" ca="1" si="3"/>
        <v>8.3223185464049894E-3</v>
      </c>
      <c r="J45" s="8">
        <f t="shared" ca="1" si="4"/>
        <v>1.082231854640499E-2</v>
      </c>
      <c r="L45" s="8">
        <f t="shared" ca="1" si="5"/>
        <v>5.513967982198567</v>
      </c>
      <c r="M45" s="8">
        <f ca="1">mu*L44*dt</f>
        <v>1.3637332400138905E-2</v>
      </c>
      <c r="N45" s="8">
        <f t="shared" ca="1" si="6"/>
        <v>4.5397689742866267E-2</v>
      </c>
      <c r="O45" s="8">
        <f t="shared" ca="1" si="7"/>
        <v>5.903502214300517E-2</v>
      </c>
      <c r="Q45" s="7">
        <f t="shared" si="8"/>
        <v>1.7000000000000008</v>
      </c>
      <c r="R45" s="8">
        <f t="shared" ca="1" si="9"/>
        <v>0.18075177606987725</v>
      </c>
      <c r="S45" s="8">
        <f t="shared" ca="1" si="10"/>
        <v>5.0997382621354292</v>
      </c>
      <c r="T45" s="8">
        <f t="shared" ca="1" si="11"/>
        <v>5.513967982198567</v>
      </c>
    </row>
    <row r="46" spans="1:20" x14ac:dyDescent="0.25">
      <c r="A46" s="7">
        <f>A45+dt</f>
        <v>1.7500000000000009</v>
      </c>
      <c r="B46" s="8">
        <f t="shared" ca="1" si="0"/>
        <v>0.14362057589296723</v>
      </c>
      <c r="C46" s="8">
        <f ca="1">lambda*(a-B45)*dt</f>
        <v>-1.8075177606987725E-2</v>
      </c>
      <c r="D46" s="8">
        <f ca="1">sigma*SQRT(dt)*_xlfn.NORM.S.INV(RAND())</f>
        <v>-1.9056022569922285E-2</v>
      </c>
      <c r="E46" s="8">
        <f t="shared" ca="1" si="1"/>
        <v>-3.7131200176910011E-2</v>
      </c>
      <c r="G46" s="8">
        <f t="shared" ca="1" si="2"/>
        <v>5.0831822395655069</v>
      </c>
      <c r="H46" s="8">
        <f>mu*dt</f>
        <v>2.5000000000000005E-3</v>
      </c>
      <c r="I46" s="8">
        <f t="shared" ca="1" si="3"/>
        <v>-1.9056022569922285E-2</v>
      </c>
      <c r="J46" s="8">
        <f t="shared" ca="1" si="4"/>
        <v>-1.6556022569922287E-2</v>
      </c>
      <c r="L46" s="8">
        <f t="shared" ca="1" si="5"/>
        <v>5.4226786038354584</v>
      </c>
      <c r="M46" s="8">
        <f ca="1">mu*L45*dt</f>
        <v>1.3784919955496419E-2</v>
      </c>
      <c r="N46" s="8">
        <f t="shared" ca="1" si="6"/>
        <v>-0.10507429831860474</v>
      </c>
      <c r="O46" s="8">
        <f t="shared" ca="1" si="7"/>
        <v>-9.1289378363108312E-2</v>
      </c>
      <c r="Q46" s="7">
        <f t="shared" si="8"/>
        <v>1.7500000000000009</v>
      </c>
      <c r="R46" s="8">
        <f t="shared" ca="1" si="9"/>
        <v>0.14362057589296723</v>
      </c>
      <c r="S46" s="8">
        <f t="shared" ca="1" si="10"/>
        <v>5.0831822395655069</v>
      </c>
      <c r="T46" s="8">
        <f t="shared" ca="1" si="11"/>
        <v>5.4226786038354584</v>
      </c>
    </row>
    <row r="47" spans="1:20" x14ac:dyDescent="0.25">
      <c r="A47" s="7">
        <f>A46+dt</f>
        <v>1.8000000000000009</v>
      </c>
      <c r="B47" s="8">
        <f t="shared" ca="1" si="0"/>
        <v>0.14028616763702909</v>
      </c>
      <c r="C47" s="8">
        <f ca="1">lambda*(a-B46)*dt</f>
        <v>-1.4362057589296724E-2</v>
      </c>
      <c r="D47" s="8">
        <f ca="1">sigma*SQRT(dt)*_xlfn.NORM.S.INV(RAND())</f>
        <v>1.1027649333358576E-2</v>
      </c>
      <c r="E47" s="8">
        <f t="shared" ca="1" si="1"/>
        <v>-3.3344082559381479E-3</v>
      </c>
      <c r="G47" s="8">
        <f t="shared" ca="1" si="2"/>
        <v>5.0967098888988653</v>
      </c>
      <c r="H47" s="8">
        <f>mu*dt</f>
        <v>2.5000000000000005E-3</v>
      </c>
      <c r="I47" s="8">
        <f t="shared" ca="1" si="3"/>
        <v>1.1027649333358576E-2</v>
      </c>
      <c r="J47" s="8">
        <f t="shared" ca="1" si="4"/>
        <v>1.3527649333358576E-2</v>
      </c>
      <c r="L47" s="8">
        <f t="shared" ca="1" si="5"/>
        <v>5.4960346984356505</v>
      </c>
      <c r="M47" s="8">
        <f ca="1">mu*L46*dt</f>
        <v>1.3556696509588649E-2</v>
      </c>
      <c r="N47" s="8">
        <f t="shared" ca="1" si="6"/>
        <v>5.9799398090603903E-2</v>
      </c>
      <c r="O47" s="8">
        <f t="shared" ca="1" si="7"/>
        <v>7.3356094600192545E-2</v>
      </c>
      <c r="Q47" s="7">
        <f t="shared" si="8"/>
        <v>1.8000000000000009</v>
      </c>
      <c r="R47" s="8">
        <f t="shared" ca="1" si="9"/>
        <v>0.14028616763702909</v>
      </c>
      <c r="S47" s="8">
        <f t="shared" ca="1" si="10"/>
        <v>5.0967098888988653</v>
      </c>
      <c r="T47" s="8">
        <f t="shared" ca="1" si="11"/>
        <v>5.4960346984356505</v>
      </c>
    </row>
    <row r="48" spans="1:20" x14ac:dyDescent="0.25">
      <c r="A48" s="7">
        <f>A47+dt</f>
        <v>1.850000000000001</v>
      </c>
      <c r="B48" s="8">
        <f t="shared" ca="1" si="0"/>
        <v>0.14024257622247943</v>
      </c>
      <c r="C48" s="8">
        <f ca="1">lambda*(a-B47)*dt</f>
        <v>-1.4028616763702909E-2</v>
      </c>
      <c r="D48" s="8">
        <f ca="1">sigma*SQRT(dt)*_xlfn.NORM.S.INV(RAND())</f>
        <v>1.3985025349153241E-2</v>
      </c>
      <c r="E48" s="8">
        <f t="shared" ca="1" si="1"/>
        <v>-4.3591414549667973E-5</v>
      </c>
      <c r="G48" s="8">
        <f t="shared" ca="1" si="2"/>
        <v>5.1131949142480186</v>
      </c>
      <c r="H48" s="8">
        <f>mu*dt</f>
        <v>2.5000000000000005E-3</v>
      </c>
      <c r="I48" s="8">
        <f t="shared" ca="1" si="3"/>
        <v>1.3985025349153241E-2</v>
      </c>
      <c r="J48" s="8">
        <f t="shared" ca="1" si="4"/>
        <v>1.6485025349153241E-2</v>
      </c>
      <c r="L48" s="8">
        <f t="shared" ca="1" si="5"/>
        <v>5.586636969759188</v>
      </c>
      <c r="M48" s="8">
        <f ca="1">mu*L47*dt</f>
        <v>1.3740086746089128E-2</v>
      </c>
      <c r="N48" s="8">
        <f t="shared" ca="1" si="6"/>
        <v>7.6862184577448367E-2</v>
      </c>
      <c r="O48" s="8">
        <f t="shared" ca="1" si="7"/>
        <v>9.06022713235375E-2</v>
      </c>
      <c r="Q48" s="7">
        <f t="shared" si="8"/>
        <v>1.850000000000001</v>
      </c>
      <c r="R48" s="8">
        <f t="shared" ca="1" si="9"/>
        <v>0.14024257622247943</v>
      </c>
      <c r="S48" s="8">
        <f t="shared" ca="1" si="10"/>
        <v>5.1131949142480186</v>
      </c>
      <c r="T48" s="8">
        <f t="shared" ca="1" si="11"/>
        <v>5.586636969759188</v>
      </c>
    </row>
    <row r="49" spans="1:20" x14ac:dyDescent="0.25">
      <c r="A49" s="7">
        <f>A48+dt</f>
        <v>1.900000000000001</v>
      </c>
      <c r="B49" s="8">
        <f t="shared" ca="1" si="0"/>
        <v>0.14125497120667507</v>
      </c>
      <c r="C49" s="8">
        <f ca="1">lambda*(a-B48)*dt</f>
        <v>-1.4024257622247944E-2</v>
      </c>
      <c r="D49" s="8">
        <f ca="1">sigma*SQRT(dt)*_xlfn.NORM.S.INV(RAND())</f>
        <v>1.5036652606443598E-2</v>
      </c>
      <c r="E49" s="8">
        <f t="shared" ca="1" si="1"/>
        <v>1.0123949841956536E-3</v>
      </c>
      <c r="G49" s="8">
        <f t="shared" ca="1" si="2"/>
        <v>5.130731566854462</v>
      </c>
      <c r="H49" s="8">
        <f>mu*dt</f>
        <v>2.5000000000000005E-3</v>
      </c>
      <c r="I49" s="8">
        <f t="shared" ca="1" si="3"/>
        <v>1.5036652606443598E-2</v>
      </c>
      <c r="J49" s="8">
        <f t="shared" ca="1" si="4"/>
        <v>1.7536652606443597E-2</v>
      </c>
      <c r="L49" s="8">
        <f t="shared" ca="1" si="5"/>
        <v>5.68460788153617</v>
      </c>
      <c r="M49" s="8">
        <f ca="1">mu*L48*dt</f>
        <v>1.396659242439797E-2</v>
      </c>
      <c r="N49" s="8">
        <f t="shared" ca="1" si="6"/>
        <v>8.4004319352583651E-2</v>
      </c>
      <c r="O49" s="8">
        <f t="shared" ca="1" si="7"/>
        <v>9.7970911776981626E-2</v>
      </c>
      <c r="Q49" s="7">
        <f t="shared" si="8"/>
        <v>1.900000000000001</v>
      </c>
      <c r="R49" s="8">
        <f t="shared" ca="1" si="9"/>
        <v>0.14125497120667507</v>
      </c>
      <c r="S49" s="8">
        <f t="shared" ca="1" si="10"/>
        <v>5.130731566854462</v>
      </c>
      <c r="T49" s="8">
        <f t="shared" ca="1" si="11"/>
        <v>5.68460788153617</v>
      </c>
    </row>
    <row r="50" spans="1:20" x14ac:dyDescent="0.25">
      <c r="A50" s="7">
        <f>A49+dt</f>
        <v>1.9500000000000011</v>
      </c>
      <c r="B50" s="8">
        <f t="shared" ca="1" si="0"/>
        <v>0.12377892824867798</v>
      </c>
      <c r="C50" s="8">
        <f ca="1">lambda*(a-B49)*dt</f>
        <v>-1.4125497120667508E-2</v>
      </c>
      <c r="D50" s="8">
        <f ca="1">sigma*SQRT(dt)*_xlfn.NORM.S.INV(RAND())</f>
        <v>-3.3505458373295815E-3</v>
      </c>
      <c r="E50" s="8">
        <f t="shared" ca="1" si="1"/>
        <v>-1.7476042957997089E-2</v>
      </c>
      <c r="G50" s="8">
        <f t="shared" ca="1" si="2"/>
        <v>5.1298810210171322</v>
      </c>
      <c r="H50" s="8">
        <f>mu*dt</f>
        <v>2.5000000000000005E-3</v>
      </c>
      <c r="I50" s="8">
        <f t="shared" ca="1" si="3"/>
        <v>-3.3505458373295815E-3</v>
      </c>
      <c r="J50" s="8">
        <f t="shared" ca="1" si="4"/>
        <v>-8.5054583732958097E-4</v>
      </c>
      <c r="L50" s="8">
        <f t="shared" ca="1" si="5"/>
        <v>5.6797728619656782</v>
      </c>
      <c r="M50" s="8">
        <f ca="1">mu*L49*dt</f>
        <v>1.4211519703840426E-2</v>
      </c>
      <c r="N50" s="8">
        <f t="shared" ca="1" si="6"/>
        <v>-1.9046539274331944E-2</v>
      </c>
      <c r="O50" s="8">
        <f t="shared" ca="1" si="7"/>
        <v>-4.835019570491518E-3</v>
      </c>
      <c r="Q50" s="7">
        <f t="shared" si="8"/>
        <v>1.9500000000000011</v>
      </c>
      <c r="R50" s="8">
        <f t="shared" ca="1" si="9"/>
        <v>0.12377892824867798</v>
      </c>
      <c r="S50" s="8">
        <f t="shared" ca="1" si="10"/>
        <v>5.1298810210171322</v>
      </c>
      <c r="T50" s="8">
        <f t="shared" ca="1" si="11"/>
        <v>5.6797728619656782</v>
      </c>
    </row>
    <row r="51" spans="1:20" x14ac:dyDescent="0.25">
      <c r="A51" s="7">
        <f>A50+dt</f>
        <v>2.0000000000000009</v>
      </c>
      <c r="B51" s="8">
        <f t="shared" ca="1" si="0"/>
        <v>0.10982315711796889</v>
      </c>
      <c r="C51" s="8">
        <f ca="1">lambda*(a-B50)*dt</f>
        <v>-1.2377892824867799E-2</v>
      </c>
      <c r="D51" s="8">
        <f ca="1">sigma*SQRT(dt)*_xlfn.NORM.S.INV(RAND())</f>
        <v>-1.5778783058412926E-3</v>
      </c>
      <c r="E51" s="8">
        <f t="shared" ca="1" si="1"/>
        <v>-1.3955771130709092E-2</v>
      </c>
      <c r="G51" s="8">
        <f t="shared" ca="1" si="2"/>
        <v>5.130803142711291</v>
      </c>
      <c r="H51" s="8">
        <f>mu*dt</f>
        <v>2.5000000000000005E-3</v>
      </c>
      <c r="I51" s="8">
        <f t="shared" ca="1" si="3"/>
        <v>-1.5778783058412926E-3</v>
      </c>
      <c r="J51" s="8">
        <f t="shared" ca="1" si="4"/>
        <v>9.2212169415870787E-4</v>
      </c>
      <c r="L51" s="8">
        <f t="shared" ca="1" si="5"/>
        <v>5.6850103037395909</v>
      </c>
      <c r="M51" s="8">
        <f ca="1">mu*L50*dt</f>
        <v>1.4199432154914197E-2</v>
      </c>
      <c r="N51" s="8">
        <f t="shared" ca="1" si="6"/>
        <v>-8.961990381001754E-3</v>
      </c>
      <c r="O51" s="8">
        <f t="shared" ca="1" si="7"/>
        <v>5.2374417739124435E-3</v>
      </c>
      <c r="Q51" s="7">
        <f t="shared" si="8"/>
        <v>2.0000000000000009</v>
      </c>
      <c r="R51" s="8">
        <f t="shared" ca="1" si="9"/>
        <v>0.10982315711796889</v>
      </c>
      <c r="S51" s="8">
        <f t="shared" ca="1" si="10"/>
        <v>5.130803142711291</v>
      </c>
      <c r="T51" s="8">
        <f t="shared" ca="1" si="11"/>
        <v>5.6850103037395909</v>
      </c>
    </row>
    <row r="52" spans="1:20" x14ac:dyDescent="0.25">
      <c r="A52" s="7">
        <f>A51+dt</f>
        <v>2.0500000000000007</v>
      </c>
      <c r="B52" s="8">
        <f t="shared" ca="1" si="0"/>
        <v>8.8858719025170757E-2</v>
      </c>
      <c r="C52" s="8">
        <f ca="1">lambda*(a-B51)*dt</f>
        <v>-1.098231571179689E-2</v>
      </c>
      <c r="D52" s="8">
        <f ca="1">sigma*SQRT(dt)*_xlfn.NORM.S.INV(RAND())</f>
        <v>-9.9821223810012457E-3</v>
      </c>
      <c r="E52" s="8">
        <f t="shared" ca="1" si="1"/>
        <v>-2.0964438092798136E-2</v>
      </c>
      <c r="G52" s="8">
        <f t="shared" ca="1" si="2"/>
        <v>5.1233210203302901</v>
      </c>
      <c r="H52" s="8">
        <f>mu*dt</f>
        <v>2.5000000000000005E-3</v>
      </c>
      <c r="I52" s="8">
        <f t="shared" ca="1" si="3"/>
        <v>-9.9821223810012457E-3</v>
      </c>
      <c r="J52" s="8">
        <f t="shared" ca="1" si="4"/>
        <v>-7.4821223810012452E-3</v>
      </c>
      <c r="L52" s="8">
        <f t="shared" ca="1" si="5"/>
        <v>5.6424743609097581</v>
      </c>
      <c r="M52" s="8">
        <f ca="1">mu*L51*dt</f>
        <v>1.421252575934898E-2</v>
      </c>
      <c r="N52" s="8">
        <f t="shared" ca="1" si="6"/>
        <v>-5.6748468589181658E-2</v>
      </c>
      <c r="O52" s="8">
        <f t="shared" ca="1" si="7"/>
        <v>-4.2535942829832682E-2</v>
      </c>
      <c r="Q52" s="7">
        <f t="shared" si="8"/>
        <v>2.0500000000000007</v>
      </c>
      <c r="R52" s="8">
        <f t="shared" ca="1" si="9"/>
        <v>8.8858719025170757E-2</v>
      </c>
      <c r="S52" s="8">
        <f t="shared" ca="1" si="10"/>
        <v>5.1233210203302901</v>
      </c>
      <c r="T52" s="8">
        <f t="shared" ca="1" si="11"/>
        <v>5.6424743609097581</v>
      </c>
    </row>
    <row r="53" spans="1:20" x14ac:dyDescent="0.25">
      <c r="A53" s="7">
        <f>A52+dt</f>
        <v>2.1000000000000005</v>
      </c>
      <c r="B53" s="8">
        <f t="shared" ca="1" si="0"/>
        <v>9.1857307379544381E-2</v>
      </c>
      <c r="C53" s="8">
        <f ca="1">lambda*(a-B52)*dt</f>
        <v>-8.8858719025170767E-3</v>
      </c>
      <c r="D53" s="8">
        <f ca="1">sigma*SQRT(dt)*_xlfn.NORM.S.INV(RAND())</f>
        <v>1.1884460256890703E-2</v>
      </c>
      <c r="E53" s="8">
        <f t="shared" ca="1" si="1"/>
        <v>2.9985883543736259E-3</v>
      </c>
      <c r="G53" s="8">
        <f t="shared" ca="1" si="2"/>
        <v>5.1377054805871811</v>
      </c>
      <c r="H53" s="8">
        <f>mu*dt</f>
        <v>2.5000000000000005E-3</v>
      </c>
      <c r="I53" s="8">
        <f t="shared" ca="1" si="3"/>
        <v>1.1884460256890703E-2</v>
      </c>
      <c r="J53" s="8">
        <f t="shared" ca="1" si="4"/>
        <v>1.4384460256890703E-2</v>
      </c>
      <c r="L53" s="8">
        <f t="shared" ca="1" si="5"/>
        <v>5.7236383091047891</v>
      </c>
      <c r="M53" s="8">
        <f ca="1">mu*L52*dt</f>
        <v>1.4106185902274396E-2</v>
      </c>
      <c r="N53" s="8">
        <f t="shared" ca="1" si="6"/>
        <v>6.7057762292756784E-2</v>
      </c>
      <c r="O53" s="8">
        <f t="shared" ca="1" si="7"/>
        <v>8.1163948195031185E-2</v>
      </c>
      <c r="Q53" s="7">
        <f t="shared" si="8"/>
        <v>2.1000000000000005</v>
      </c>
      <c r="R53" s="8">
        <f t="shared" ca="1" si="9"/>
        <v>9.1857307379544381E-2</v>
      </c>
      <c r="S53" s="8">
        <f t="shared" ca="1" si="10"/>
        <v>5.1377054805871811</v>
      </c>
      <c r="T53" s="8">
        <f t="shared" ca="1" si="11"/>
        <v>5.7236383091047891</v>
      </c>
    </row>
    <row r="54" spans="1:20" x14ac:dyDescent="0.25">
      <c r="A54" s="7">
        <f>A53+dt</f>
        <v>2.1500000000000004</v>
      </c>
      <c r="B54" s="8">
        <f t="shared" ca="1" si="0"/>
        <v>9.8350834337149834E-2</v>
      </c>
      <c r="C54" s="8">
        <f ca="1">lambda*(a-B53)*dt</f>
        <v>-9.1857307379544385E-3</v>
      </c>
      <c r="D54" s="8">
        <f ca="1">sigma*SQRT(dt)*_xlfn.NORM.S.INV(RAND())</f>
        <v>1.5679257695559886E-2</v>
      </c>
      <c r="E54" s="8">
        <f t="shared" ca="1" si="1"/>
        <v>6.4935269576054475E-3</v>
      </c>
      <c r="G54" s="8">
        <f t="shared" ca="1" si="2"/>
        <v>5.1558847382827411</v>
      </c>
      <c r="H54" s="8">
        <f>mu*dt</f>
        <v>2.5000000000000005E-3</v>
      </c>
      <c r="I54" s="8">
        <f t="shared" ca="1" si="3"/>
        <v>1.5679257695559886E-2</v>
      </c>
      <c r="J54" s="8">
        <f t="shared" ca="1" si="4"/>
        <v>1.8179257695559885E-2</v>
      </c>
      <c r="L54" s="8">
        <f t="shared" ca="1" si="5"/>
        <v>5.8276898048821835</v>
      </c>
      <c r="M54" s="8">
        <f ca="1">mu*L53*dt</f>
        <v>1.4309095772761973E-2</v>
      </c>
      <c r="N54" s="8">
        <f t="shared" ca="1" si="6"/>
        <v>8.9742400004632641E-2</v>
      </c>
      <c r="O54" s="8">
        <f t="shared" ca="1" si="7"/>
        <v>0.10405149577739461</v>
      </c>
      <c r="Q54" s="7">
        <f t="shared" si="8"/>
        <v>2.1500000000000004</v>
      </c>
      <c r="R54" s="8">
        <f t="shared" ca="1" si="9"/>
        <v>9.8350834337149834E-2</v>
      </c>
      <c r="S54" s="8">
        <f t="shared" ca="1" si="10"/>
        <v>5.1558847382827411</v>
      </c>
      <c r="T54" s="8">
        <f t="shared" ca="1" si="11"/>
        <v>5.8276898048821835</v>
      </c>
    </row>
    <row r="55" spans="1:20" x14ac:dyDescent="0.25">
      <c r="A55" s="7">
        <f>A54+dt</f>
        <v>2.2000000000000002</v>
      </c>
      <c r="B55" s="8">
        <f t="shared" ca="1" si="0"/>
        <v>7.2767006692539021E-2</v>
      </c>
      <c r="C55" s="8">
        <f ca="1">lambda*(a-B54)*dt</f>
        <v>-9.8350834337149837E-3</v>
      </c>
      <c r="D55" s="8">
        <f ca="1">sigma*SQRT(dt)*_xlfn.NORM.S.INV(RAND())</f>
        <v>-1.5748744210895824E-2</v>
      </c>
      <c r="E55" s="8">
        <f t="shared" ca="1" si="1"/>
        <v>-2.5583827644610806E-2</v>
      </c>
      <c r="G55" s="8">
        <f t="shared" ca="1" si="2"/>
        <v>5.1426359940718456</v>
      </c>
      <c r="H55" s="8">
        <f>mu*dt</f>
        <v>2.5000000000000005E-3</v>
      </c>
      <c r="I55" s="8">
        <f t="shared" ca="1" si="3"/>
        <v>-1.5748744210895824E-2</v>
      </c>
      <c r="J55" s="8">
        <f t="shared" ca="1" si="4"/>
        <v>-1.3248744210895823E-2</v>
      </c>
      <c r="L55" s="8">
        <f t="shared" ca="1" si="5"/>
        <v>5.7504802333168543</v>
      </c>
      <c r="M55" s="8">
        <f ca="1">mu*L54*dt</f>
        <v>1.4569224512205459E-2</v>
      </c>
      <c r="N55" s="8">
        <f t="shared" ca="1" si="6"/>
        <v>-9.1778796077534905E-2</v>
      </c>
      <c r="O55" s="8">
        <f t="shared" ca="1" si="7"/>
        <v>-7.7209571565329441E-2</v>
      </c>
      <c r="Q55" s="7">
        <f t="shared" si="8"/>
        <v>2.2000000000000002</v>
      </c>
      <c r="R55" s="8">
        <f t="shared" ca="1" si="9"/>
        <v>7.2767006692539021E-2</v>
      </c>
      <c r="S55" s="8">
        <f t="shared" ca="1" si="10"/>
        <v>5.1426359940718456</v>
      </c>
      <c r="T55" s="8">
        <f t="shared" ca="1" si="11"/>
        <v>5.7504802333168543</v>
      </c>
    </row>
    <row r="56" spans="1:20" x14ac:dyDescent="0.25">
      <c r="A56" s="7">
        <f>A55+dt</f>
        <v>2.25</v>
      </c>
      <c r="B56" s="8">
        <f t="shared" ca="1" si="0"/>
        <v>5.586328376618576E-2</v>
      </c>
      <c r="C56" s="8">
        <f ca="1">lambda*(a-B55)*dt</f>
        <v>-7.2767006692539028E-3</v>
      </c>
      <c r="D56" s="8">
        <f ca="1">sigma*SQRT(dt)*_xlfn.NORM.S.INV(RAND())</f>
        <v>-9.6270222570993564E-3</v>
      </c>
      <c r="E56" s="8">
        <f t="shared" ca="1" si="1"/>
        <v>-1.6903722926353261E-2</v>
      </c>
      <c r="G56" s="8">
        <f t="shared" ca="1" si="2"/>
        <v>5.1355089718147466</v>
      </c>
      <c r="H56" s="8">
        <f>mu*dt</f>
        <v>2.5000000000000005E-3</v>
      </c>
      <c r="I56" s="8">
        <f t="shared" ca="1" si="3"/>
        <v>-9.6270222570993564E-3</v>
      </c>
      <c r="J56" s="8">
        <f t="shared" ca="1" si="4"/>
        <v>-7.1270222570993559E-3</v>
      </c>
      <c r="L56" s="8">
        <f t="shared" ca="1" si="5"/>
        <v>5.7094964327049951</v>
      </c>
      <c r="M56" s="8">
        <f ca="1">mu*L55*dt</f>
        <v>1.4376200583292137E-2</v>
      </c>
      <c r="N56" s="8">
        <f t="shared" ca="1" si="6"/>
        <v>-5.5360001195151255E-2</v>
      </c>
      <c r="O56" s="8">
        <f t="shared" ca="1" si="7"/>
        <v>-4.098380061185912E-2</v>
      </c>
      <c r="Q56" s="7">
        <f t="shared" si="8"/>
        <v>2.25</v>
      </c>
      <c r="R56" s="8">
        <f t="shared" ca="1" si="9"/>
        <v>5.586328376618576E-2</v>
      </c>
      <c r="S56" s="8">
        <f t="shared" ca="1" si="10"/>
        <v>5.1355089718147466</v>
      </c>
      <c r="T56" s="8">
        <f t="shared" ca="1" si="11"/>
        <v>5.7094964327049951</v>
      </c>
    </row>
    <row r="57" spans="1:20" x14ac:dyDescent="0.25">
      <c r="A57" s="7">
        <f>A56+dt</f>
        <v>2.2999999999999998</v>
      </c>
      <c r="B57" s="8">
        <f t="shared" ca="1" si="0"/>
        <v>5.1971202908677606E-2</v>
      </c>
      <c r="C57" s="8">
        <f ca="1">lambda*(a-B56)*dt</f>
        <v>-5.5863283766185764E-3</v>
      </c>
      <c r="D57" s="8">
        <f ca="1">sigma*SQRT(dt)*_xlfn.NORM.S.INV(RAND())</f>
        <v>1.6942475191104199E-3</v>
      </c>
      <c r="E57" s="8">
        <f t="shared" ca="1" si="1"/>
        <v>-3.8920808575081565E-3</v>
      </c>
      <c r="G57" s="8">
        <f t="shared" ca="1" si="2"/>
        <v>5.1397032193338568</v>
      </c>
      <c r="H57" s="8">
        <f>mu*dt</f>
        <v>2.5000000000000005E-3</v>
      </c>
      <c r="I57" s="8">
        <f t="shared" ca="1" si="3"/>
        <v>1.6942475191104199E-3</v>
      </c>
      <c r="J57" s="8">
        <f t="shared" ca="1" si="4"/>
        <v>4.1942475191104204E-3</v>
      </c>
      <c r="L57" s="8">
        <f t="shared" ca="1" si="5"/>
        <v>5.7334434739532378</v>
      </c>
      <c r="M57" s="8">
        <f ca="1">mu*L56*dt</f>
        <v>1.427374108176249E-2</v>
      </c>
      <c r="N57" s="8">
        <f t="shared" ca="1" si="6"/>
        <v>9.6733001664802299E-3</v>
      </c>
      <c r="O57" s="8">
        <f t="shared" ca="1" si="7"/>
        <v>2.394704124824272E-2</v>
      </c>
      <c r="Q57" s="7">
        <f t="shared" si="8"/>
        <v>2.2999999999999998</v>
      </c>
      <c r="R57" s="8">
        <f t="shared" ca="1" si="9"/>
        <v>5.1971202908677606E-2</v>
      </c>
      <c r="S57" s="8">
        <f t="shared" ca="1" si="10"/>
        <v>5.1397032193338568</v>
      </c>
      <c r="T57" s="8">
        <f t="shared" ca="1" si="11"/>
        <v>5.7334434739532378</v>
      </c>
    </row>
    <row r="58" spans="1:20" x14ac:dyDescent="0.25">
      <c r="A58" s="7">
        <f>A57+dt</f>
        <v>2.3499999999999996</v>
      </c>
      <c r="B58" s="8">
        <f t="shared" ca="1" si="0"/>
        <v>6.2269751867542127E-2</v>
      </c>
      <c r="C58" s="8">
        <f ca="1">lambda*(a-B57)*dt</f>
        <v>-5.1971202908677608E-3</v>
      </c>
      <c r="D58" s="8">
        <f ca="1">sigma*SQRT(dt)*_xlfn.NORM.S.INV(RAND())</f>
        <v>1.5495669249732282E-2</v>
      </c>
      <c r="E58" s="8">
        <f t="shared" ca="1" si="1"/>
        <v>1.029854895886452E-2</v>
      </c>
      <c r="G58" s="8">
        <f t="shared" ca="1" si="2"/>
        <v>5.1576988885835888</v>
      </c>
      <c r="H58" s="8">
        <f>mu*dt</f>
        <v>2.5000000000000005E-3</v>
      </c>
      <c r="I58" s="8">
        <f t="shared" ca="1" si="3"/>
        <v>1.5495669249732282E-2</v>
      </c>
      <c r="J58" s="8">
        <f t="shared" ca="1" si="4"/>
        <v>1.7995669249732282E-2</v>
      </c>
      <c r="L58" s="8">
        <f t="shared" ca="1" si="5"/>
        <v>5.836620626372536</v>
      </c>
      <c r="M58" s="8">
        <f ca="1">mu*L57*dt</f>
        <v>1.4333608684883096E-2</v>
      </c>
      <c r="N58" s="8">
        <f t="shared" ca="1" si="6"/>
        <v>8.8843543734415414E-2</v>
      </c>
      <c r="O58" s="8">
        <f t="shared" ca="1" si="7"/>
        <v>0.10317715241929851</v>
      </c>
      <c r="Q58" s="7">
        <f t="shared" si="8"/>
        <v>2.3499999999999996</v>
      </c>
      <c r="R58" s="8">
        <f t="shared" ca="1" si="9"/>
        <v>6.2269751867542127E-2</v>
      </c>
      <c r="S58" s="8">
        <f t="shared" ca="1" si="10"/>
        <v>5.1576988885835888</v>
      </c>
      <c r="T58" s="8">
        <f t="shared" ca="1" si="11"/>
        <v>5.836620626372536</v>
      </c>
    </row>
    <row r="59" spans="1:20" x14ac:dyDescent="0.25">
      <c r="A59" s="7">
        <f>A58+dt</f>
        <v>2.3999999999999995</v>
      </c>
      <c r="B59" s="8">
        <f t="shared" ca="1" si="0"/>
        <v>4.2792658326993568E-2</v>
      </c>
      <c r="C59" s="8">
        <f ca="1">lambda*(a-B58)*dt</f>
        <v>-6.2269751867542128E-3</v>
      </c>
      <c r="D59" s="8">
        <f ca="1">sigma*SQRT(dt)*_xlfn.NORM.S.INV(RAND())</f>
        <v>-1.325011835379435E-2</v>
      </c>
      <c r="E59" s="8">
        <f t="shared" ca="1" si="1"/>
        <v>-1.9477093540548562E-2</v>
      </c>
      <c r="G59" s="8">
        <f t="shared" ca="1" si="2"/>
        <v>5.1469487702297947</v>
      </c>
      <c r="H59" s="8">
        <f>mu*dt</f>
        <v>2.5000000000000005E-3</v>
      </c>
      <c r="I59" s="8">
        <f t="shared" ca="1" si="3"/>
        <v>-1.325011835379435E-2</v>
      </c>
      <c r="J59" s="8">
        <f t="shared" ca="1" si="4"/>
        <v>-1.0750118353794349E-2</v>
      </c>
      <c r="L59" s="8">
        <f t="shared" ca="1" si="5"/>
        <v>5.7738762638528343</v>
      </c>
      <c r="M59" s="8">
        <f ca="1">mu*L58*dt</f>
        <v>1.4591551565931341E-2</v>
      </c>
      <c r="N59" s="8">
        <f t="shared" ca="1" si="6"/>
        <v>-7.7335914085633409E-2</v>
      </c>
      <c r="O59" s="8">
        <f t="shared" ca="1" si="7"/>
        <v>-6.2744362519702071E-2</v>
      </c>
      <c r="Q59" s="7">
        <f t="shared" si="8"/>
        <v>2.3999999999999995</v>
      </c>
      <c r="R59" s="8">
        <f t="shared" ca="1" si="9"/>
        <v>4.2792658326993568E-2</v>
      </c>
      <c r="S59" s="8">
        <f t="shared" ca="1" si="10"/>
        <v>5.1469487702297947</v>
      </c>
      <c r="T59" s="8">
        <f t="shared" ca="1" si="11"/>
        <v>5.7738762638528343</v>
      </c>
    </row>
    <row r="60" spans="1:20" x14ac:dyDescent="0.25">
      <c r="A60" s="7">
        <f>A59+dt</f>
        <v>2.4499999999999993</v>
      </c>
      <c r="B60" s="8">
        <f t="shared" ca="1" si="0"/>
        <v>4.4685361775066948E-2</v>
      </c>
      <c r="C60" s="8">
        <f ca="1">lambda*(a-B59)*dt</f>
        <v>-4.2792658326993574E-3</v>
      </c>
      <c r="D60" s="8">
        <f ca="1">sigma*SQRT(dt)*_xlfn.NORM.S.INV(RAND())</f>
        <v>6.1719692807727343E-3</v>
      </c>
      <c r="E60" s="8">
        <f t="shared" ca="1" si="1"/>
        <v>1.8927034480733769E-3</v>
      </c>
      <c r="G60" s="8">
        <f t="shared" ca="1" si="2"/>
        <v>5.1556207395105673</v>
      </c>
      <c r="H60" s="8">
        <f>mu*dt</f>
        <v>2.5000000000000005E-3</v>
      </c>
      <c r="I60" s="8">
        <f t="shared" ca="1" si="3"/>
        <v>6.1719692807727343E-3</v>
      </c>
      <c r="J60" s="8">
        <f t="shared" ca="1" si="4"/>
        <v>8.6719692807727348E-3</v>
      </c>
      <c r="L60" s="8">
        <f t="shared" ca="1" si="5"/>
        <v>5.8239471414439485</v>
      </c>
      <c r="M60" s="8">
        <f ca="1">mu*L59*dt</f>
        <v>1.4434690659632085E-2</v>
      </c>
      <c r="N60" s="8">
        <f t="shared" ca="1" si="6"/>
        <v>3.5636186931482537E-2</v>
      </c>
      <c r="O60" s="8">
        <f t="shared" ca="1" si="7"/>
        <v>5.0070877591114622E-2</v>
      </c>
      <c r="Q60" s="7">
        <f t="shared" si="8"/>
        <v>2.4499999999999993</v>
      </c>
      <c r="R60" s="8">
        <f t="shared" ca="1" si="9"/>
        <v>4.4685361775066948E-2</v>
      </c>
      <c r="S60" s="8">
        <f t="shared" ca="1" si="10"/>
        <v>5.1556207395105673</v>
      </c>
      <c r="T60" s="8">
        <f t="shared" ca="1" si="11"/>
        <v>5.8239471414439485</v>
      </c>
    </row>
    <row r="61" spans="1:20" x14ac:dyDescent="0.25">
      <c r="A61" s="7">
        <f>A60+dt</f>
        <v>2.4999999999999991</v>
      </c>
      <c r="B61" s="8">
        <f t="shared" ca="1" si="0"/>
        <v>3.3409481500192628E-2</v>
      </c>
      <c r="C61" s="8">
        <f ca="1">lambda*(a-B60)*dt</f>
        <v>-4.4685361775066946E-3</v>
      </c>
      <c r="D61" s="8">
        <f ca="1">sigma*SQRT(dt)*_xlfn.NORM.S.INV(RAND())</f>
        <v>-6.8073440973676217E-3</v>
      </c>
      <c r="E61" s="8">
        <f t="shared" ca="1" si="1"/>
        <v>-1.1275880274874316E-2</v>
      </c>
      <c r="G61" s="8">
        <f t="shared" ca="1" si="2"/>
        <v>5.1513133954132</v>
      </c>
      <c r="H61" s="8">
        <f>mu*dt</f>
        <v>2.5000000000000005E-3</v>
      </c>
      <c r="I61" s="8">
        <f t="shared" ca="1" si="3"/>
        <v>-6.8073440973676217E-3</v>
      </c>
      <c r="J61" s="8">
        <f t="shared" ca="1" si="4"/>
        <v>-4.3073440973676212E-3</v>
      </c>
      <c r="L61" s="8">
        <f t="shared" ca="1" si="5"/>
        <v>5.7988613971008691</v>
      </c>
      <c r="M61" s="8">
        <f ca="1">mu*L60*dt</f>
        <v>1.4559867853609874E-2</v>
      </c>
      <c r="N61" s="8">
        <f t="shared" ca="1" si="6"/>
        <v>-3.9645612196689495E-2</v>
      </c>
      <c r="O61" s="8">
        <f t="shared" ca="1" si="7"/>
        <v>-2.508574434307962E-2</v>
      </c>
      <c r="Q61" s="7">
        <f t="shared" si="8"/>
        <v>2.4999999999999991</v>
      </c>
      <c r="R61" s="8">
        <f t="shared" ca="1" si="9"/>
        <v>3.3409481500192628E-2</v>
      </c>
      <c r="S61" s="8">
        <f t="shared" ca="1" si="10"/>
        <v>5.1513133954132</v>
      </c>
      <c r="T61" s="8">
        <f t="shared" ca="1" si="11"/>
        <v>5.7988613971008691</v>
      </c>
    </row>
    <row r="62" spans="1:20" x14ac:dyDescent="0.25">
      <c r="A62" s="7">
        <f>A61+dt</f>
        <v>2.5499999999999989</v>
      </c>
      <c r="B62" s="8">
        <f t="shared" ca="1" si="0"/>
        <v>2.4755854662974558E-2</v>
      </c>
      <c r="C62" s="8">
        <f ca="1">lambda*(a-B61)*dt</f>
        <v>-3.3409481500192629E-3</v>
      </c>
      <c r="D62" s="8">
        <f ca="1">sigma*SQRT(dt)*_xlfn.NORM.S.INV(RAND())</f>
        <v>-5.3126786871988095E-3</v>
      </c>
      <c r="E62" s="8">
        <f t="shared" ca="1" si="1"/>
        <v>-8.653626837218072E-3</v>
      </c>
      <c r="G62" s="8">
        <f t="shared" ca="1" si="2"/>
        <v>5.1485007167260015</v>
      </c>
      <c r="H62" s="8">
        <f>mu*dt</f>
        <v>2.5000000000000005E-3</v>
      </c>
      <c r="I62" s="8">
        <f t="shared" ca="1" si="3"/>
        <v>-5.3126786871988095E-3</v>
      </c>
      <c r="J62" s="8">
        <f t="shared" ca="1" si="4"/>
        <v>-2.812678687198809E-3</v>
      </c>
      <c r="L62" s="8">
        <f t="shared" ca="1" si="5"/>
        <v>5.7825510632392234</v>
      </c>
      <c r="M62" s="8">
        <f ca="1">mu*L61*dt</f>
        <v>1.4497153492752175E-2</v>
      </c>
      <c r="N62" s="8">
        <f t="shared" ca="1" si="6"/>
        <v>-3.08074873543977E-2</v>
      </c>
      <c r="O62" s="8">
        <f t="shared" ca="1" si="7"/>
        <v>-1.6310333861645526E-2</v>
      </c>
      <c r="Q62" s="7">
        <f t="shared" si="8"/>
        <v>2.5499999999999989</v>
      </c>
      <c r="R62" s="8">
        <f t="shared" ca="1" si="9"/>
        <v>2.4755854662974558E-2</v>
      </c>
      <c r="S62" s="8">
        <f t="shared" ca="1" si="10"/>
        <v>5.1485007167260015</v>
      </c>
      <c r="T62" s="8">
        <f t="shared" ca="1" si="11"/>
        <v>5.7825510632392234</v>
      </c>
    </row>
    <row r="63" spans="1:20" x14ac:dyDescent="0.25">
      <c r="A63" s="7">
        <f>A62+dt</f>
        <v>2.5999999999999988</v>
      </c>
      <c r="B63" s="8">
        <f t="shared" ca="1" si="0"/>
        <v>2.8920476775984347E-2</v>
      </c>
      <c r="C63" s="8">
        <f ca="1">lambda*(a-B62)*dt</f>
        <v>-2.4755854662974561E-3</v>
      </c>
      <c r="D63" s="8">
        <f ca="1">sigma*SQRT(dt)*_xlfn.NORM.S.INV(RAND())</f>
        <v>6.6402075793072441E-3</v>
      </c>
      <c r="E63" s="8">
        <f t="shared" ca="1" si="1"/>
        <v>4.1646221130097879E-3</v>
      </c>
      <c r="G63" s="8">
        <f t="shared" ca="1" si="2"/>
        <v>5.1576409243053085</v>
      </c>
      <c r="H63" s="8">
        <f>mu*dt</f>
        <v>2.5000000000000005E-3</v>
      </c>
      <c r="I63" s="8">
        <f t="shared" ca="1" si="3"/>
        <v>6.6402075793072441E-3</v>
      </c>
      <c r="J63" s="8">
        <f t="shared" ca="1" si="4"/>
        <v>9.1402075793072454E-3</v>
      </c>
      <c r="L63" s="8">
        <f t="shared" ca="1" si="5"/>
        <v>5.8354047802951738</v>
      </c>
      <c r="M63" s="8">
        <f ca="1">mu*L62*dt</f>
        <v>1.4456377658098062E-2</v>
      </c>
      <c r="N63" s="8">
        <f t="shared" ca="1" si="6"/>
        <v>3.8397339397852254E-2</v>
      </c>
      <c r="O63" s="8">
        <f t="shared" ca="1" si="7"/>
        <v>5.2853717055950315E-2</v>
      </c>
      <c r="Q63" s="7">
        <f t="shared" si="8"/>
        <v>2.5999999999999988</v>
      </c>
      <c r="R63" s="8">
        <f t="shared" ca="1" si="9"/>
        <v>2.8920476775984347E-2</v>
      </c>
      <c r="S63" s="8">
        <f t="shared" ca="1" si="10"/>
        <v>5.1576409243053085</v>
      </c>
      <c r="T63" s="8">
        <f t="shared" ca="1" si="11"/>
        <v>5.8354047802951738</v>
      </c>
    </row>
    <row r="64" spans="1:20" x14ac:dyDescent="0.25">
      <c r="A64" s="7">
        <f>A63+dt</f>
        <v>2.6499999999999986</v>
      </c>
      <c r="B64" s="8">
        <f t="shared" ca="1" si="0"/>
        <v>1.9871750562152693E-2</v>
      </c>
      <c r="C64" s="8">
        <f ca="1">lambda*(a-B63)*dt</f>
        <v>-2.8920476775984348E-3</v>
      </c>
      <c r="D64" s="8">
        <f ca="1">sigma*SQRT(dt)*_xlfn.NORM.S.INV(RAND())</f>
        <v>-6.1566785362332172E-3</v>
      </c>
      <c r="E64" s="8">
        <f t="shared" ca="1" si="1"/>
        <v>-9.048726213831652E-3</v>
      </c>
      <c r="G64" s="8">
        <f t="shared" ca="1" si="2"/>
        <v>5.1539842457690757</v>
      </c>
      <c r="H64" s="8">
        <f>mu*dt</f>
        <v>2.5000000000000005E-3</v>
      </c>
      <c r="I64" s="8">
        <f t="shared" ca="1" si="3"/>
        <v>-6.1566785362332172E-3</v>
      </c>
      <c r="J64" s="8">
        <f t="shared" ca="1" si="4"/>
        <v>-3.6566785362332167E-3</v>
      </c>
      <c r="L64" s="8">
        <f t="shared" ca="1" si="5"/>
        <v>5.8140665808848357</v>
      </c>
      <c r="M64" s="8">
        <f ca="1">mu*L63*dt</f>
        <v>1.4588511950737935E-2</v>
      </c>
      <c r="N64" s="8">
        <f t="shared" ca="1" si="6"/>
        <v>-3.5926711361076009E-2</v>
      </c>
      <c r="O64" s="8">
        <f t="shared" ca="1" si="7"/>
        <v>-2.1338199410338075E-2</v>
      </c>
      <c r="Q64" s="7">
        <f t="shared" si="8"/>
        <v>2.6499999999999986</v>
      </c>
      <c r="R64" s="8">
        <f t="shared" ca="1" si="9"/>
        <v>1.9871750562152693E-2</v>
      </c>
      <c r="S64" s="8">
        <f t="shared" ca="1" si="10"/>
        <v>5.1539842457690757</v>
      </c>
      <c r="T64" s="8">
        <f t="shared" ca="1" si="11"/>
        <v>5.8140665808848357</v>
      </c>
    </row>
    <row r="65" spans="1:20" x14ac:dyDescent="0.25">
      <c r="A65" s="7">
        <f>A64+dt</f>
        <v>2.6999999999999984</v>
      </c>
      <c r="B65" s="8">
        <f t="shared" ca="1" si="0"/>
        <v>1.0354992910020681E-2</v>
      </c>
      <c r="C65" s="8">
        <f ca="1">lambda*(a-B64)*dt</f>
        <v>-1.9871750562152693E-3</v>
      </c>
      <c r="D65" s="8">
        <f ca="1">sigma*SQRT(dt)*_xlfn.NORM.S.INV(RAND())</f>
        <v>-7.5295825959167421E-3</v>
      </c>
      <c r="E65" s="8">
        <f t="shared" ca="1" si="1"/>
        <v>-9.5167576521320123E-3</v>
      </c>
      <c r="G65" s="8">
        <f t="shared" ca="1" si="2"/>
        <v>5.1489546631731589</v>
      </c>
      <c r="H65" s="8">
        <f>mu*dt</f>
        <v>2.5000000000000005E-3</v>
      </c>
      <c r="I65" s="8">
        <f t="shared" ca="1" si="3"/>
        <v>-7.5295825959167421E-3</v>
      </c>
      <c r="J65" s="8">
        <f t="shared" ca="1" si="4"/>
        <v>-5.0295825959167416E-3</v>
      </c>
      <c r="L65" s="8">
        <f t="shared" ca="1" si="5"/>
        <v>5.7848242527981162</v>
      </c>
      <c r="M65" s="8">
        <f ca="1">mu*L64*dt</f>
        <v>1.4535166452212089E-2</v>
      </c>
      <c r="N65" s="8">
        <f t="shared" ca="1" si="6"/>
        <v>-4.3777494538931622E-2</v>
      </c>
      <c r="O65" s="8">
        <f t="shared" ca="1" si="7"/>
        <v>-2.9242328086719532E-2</v>
      </c>
      <c r="Q65" s="7">
        <f t="shared" si="8"/>
        <v>2.6999999999999984</v>
      </c>
      <c r="R65" s="8">
        <f t="shared" ca="1" si="9"/>
        <v>1.0354992910020681E-2</v>
      </c>
      <c r="S65" s="8">
        <f t="shared" ca="1" si="10"/>
        <v>5.1489546631731589</v>
      </c>
      <c r="T65" s="8">
        <f t="shared" ca="1" si="11"/>
        <v>5.7848242527981162</v>
      </c>
    </row>
    <row r="66" spans="1:20" x14ac:dyDescent="0.25">
      <c r="A66" s="7">
        <f>A65+dt</f>
        <v>2.7499999999999982</v>
      </c>
      <c r="B66" s="8">
        <f t="shared" ca="1" si="0"/>
        <v>1.0798082218450951E-2</v>
      </c>
      <c r="C66" s="8">
        <f ca="1">lambda*(a-B65)*dt</f>
        <v>-1.0354992910020682E-3</v>
      </c>
      <c r="D66" s="8">
        <f ca="1">sigma*SQRT(dt)*_xlfn.NORM.S.INV(RAND())</f>
        <v>1.478588599432338E-3</v>
      </c>
      <c r="E66" s="8">
        <f t="shared" ca="1" si="1"/>
        <v>4.4308930843026985E-4</v>
      </c>
      <c r="G66" s="8">
        <f t="shared" ca="1" si="2"/>
        <v>5.1529332517725912</v>
      </c>
      <c r="H66" s="8">
        <f>mu*dt</f>
        <v>2.5000000000000005E-3</v>
      </c>
      <c r="I66" s="8">
        <f t="shared" ca="1" si="3"/>
        <v>1.478588599432338E-3</v>
      </c>
      <c r="J66" s="8">
        <f t="shared" ca="1" si="4"/>
        <v>3.9785885994323388E-3</v>
      </c>
      <c r="L66" s="8">
        <f t="shared" ca="1" si="5"/>
        <v>5.8078396886200183</v>
      </c>
      <c r="M66" s="8">
        <f ca="1">mu*L65*dt</f>
        <v>1.4462060631995292E-2</v>
      </c>
      <c r="N66" s="8">
        <f t="shared" ca="1" si="6"/>
        <v>8.5533751899069879E-3</v>
      </c>
      <c r="O66" s="8">
        <f t="shared" ca="1" si="7"/>
        <v>2.301543582190228E-2</v>
      </c>
      <c r="Q66" s="7">
        <f t="shared" si="8"/>
        <v>2.7499999999999982</v>
      </c>
      <c r="R66" s="8">
        <f t="shared" ca="1" si="9"/>
        <v>1.0798082218450951E-2</v>
      </c>
      <c r="S66" s="8">
        <f t="shared" ca="1" si="10"/>
        <v>5.1529332517725912</v>
      </c>
      <c r="T66" s="8">
        <f t="shared" ca="1" si="11"/>
        <v>5.8078396886200183</v>
      </c>
    </row>
    <row r="67" spans="1:20" x14ac:dyDescent="0.25">
      <c r="A67" s="7">
        <f>A66+dt</f>
        <v>2.799999999999998</v>
      </c>
      <c r="B67" s="8">
        <f t="shared" ca="1" si="0"/>
        <v>1.6916001341584455E-2</v>
      </c>
      <c r="C67" s="8">
        <f ca="1">lambda*(a-B66)*dt</f>
        <v>-1.0798082218450951E-3</v>
      </c>
      <c r="D67" s="8">
        <f ca="1">sigma*SQRT(dt)*_xlfn.NORM.S.INV(RAND())</f>
        <v>7.1977273449786005E-3</v>
      </c>
      <c r="E67" s="8">
        <f t="shared" ca="1" si="1"/>
        <v>6.1179191231335054E-3</v>
      </c>
      <c r="G67" s="8">
        <f t="shared" ca="1" si="2"/>
        <v>5.1626309791175702</v>
      </c>
      <c r="H67" s="8">
        <f>mu*dt</f>
        <v>2.5000000000000005E-3</v>
      </c>
      <c r="I67" s="8">
        <f t="shared" ca="1" si="3"/>
        <v>7.1977273449786005E-3</v>
      </c>
      <c r="J67" s="8">
        <f t="shared" ca="1" si="4"/>
        <v>9.697727344978601E-3</v>
      </c>
      <c r="L67" s="8">
        <f t="shared" ca="1" si="5"/>
        <v>5.8641625343836008</v>
      </c>
      <c r="M67" s="8">
        <f ca="1">mu*L66*dt</f>
        <v>1.4519599221550048E-2</v>
      </c>
      <c r="N67" s="8">
        <f t="shared" ca="1" si="6"/>
        <v>4.1803246542032303E-2</v>
      </c>
      <c r="O67" s="8">
        <f t="shared" ca="1" si="7"/>
        <v>5.6322845763582353E-2</v>
      </c>
      <c r="Q67" s="7">
        <f t="shared" si="8"/>
        <v>2.799999999999998</v>
      </c>
      <c r="R67" s="8">
        <f t="shared" ca="1" si="9"/>
        <v>1.6916001341584455E-2</v>
      </c>
      <c r="S67" s="8">
        <f t="shared" ca="1" si="10"/>
        <v>5.1626309791175702</v>
      </c>
      <c r="T67" s="8">
        <f t="shared" ca="1" si="11"/>
        <v>5.8641625343836008</v>
      </c>
    </row>
    <row r="68" spans="1:20" x14ac:dyDescent="0.25">
      <c r="A68" s="7">
        <f>A67+dt</f>
        <v>2.8499999999999979</v>
      </c>
      <c r="B68" s="8">
        <f t="shared" ca="1" si="0"/>
        <v>2.1738421633784189E-2</v>
      </c>
      <c r="C68" s="8">
        <f ca="1">lambda*(a-B67)*dt</f>
        <v>-1.6916001341584456E-3</v>
      </c>
      <c r="D68" s="8">
        <f ca="1">sigma*SQRT(dt)*_xlfn.NORM.S.INV(RAND())</f>
        <v>6.5140204263581794E-3</v>
      </c>
      <c r="E68" s="8">
        <f t="shared" ca="1" si="1"/>
        <v>4.822420292199734E-3</v>
      </c>
      <c r="G68" s="8">
        <f t="shared" ca="1" si="2"/>
        <v>5.1716449995439282</v>
      </c>
      <c r="H68" s="8">
        <f>mu*dt</f>
        <v>2.5000000000000005E-3</v>
      </c>
      <c r="I68" s="8">
        <f t="shared" ca="1" si="3"/>
        <v>6.5140204263581794E-3</v>
      </c>
      <c r="J68" s="8">
        <f t="shared" ca="1" si="4"/>
        <v>9.014020426358179E-3</v>
      </c>
      <c r="L68" s="8">
        <f t="shared" ca="1" si="5"/>
        <v>5.9170222152520191</v>
      </c>
      <c r="M68" s="8">
        <f ca="1">mu*L67*dt</f>
        <v>1.4660406335959004E-2</v>
      </c>
      <c r="N68" s="8">
        <f t="shared" ca="1" si="6"/>
        <v>3.8199274532459124E-2</v>
      </c>
      <c r="O68" s="8">
        <f t="shared" ca="1" si="7"/>
        <v>5.2859680868418128E-2</v>
      </c>
      <c r="Q68" s="7">
        <f t="shared" si="8"/>
        <v>2.8499999999999979</v>
      </c>
      <c r="R68" s="8">
        <f t="shared" ca="1" si="9"/>
        <v>2.1738421633784189E-2</v>
      </c>
      <c r="S68" s="8">
        <f t="shared" ca="1" si="10"/>
        <v>5.1716449995439282</v>
      </c>
      <c r="T68" s="8">
        <f t="shared" ca="1" si="11"/>
        <v>5.9170222152520191</v>
      </c>
    </row>
    <row r="69" spans="1:20" x14ac:dyDescent="0.25">
      <c r="A69" s="7">
        <f>A68+dt</f>
        <v>2.8999999999999977</v>
      </c>
      <c r="B69" s="8">
        <f t="shared" ca="1" si="0"/>
        <v>1.1606710100151576E-2</v>
      </c>
      <c r="C69" s="8">
        <f ca="1">lambda*(a-B68)*dt</f>
        <v>-2.1738421633784189E-3</v>
      </c>
      <c r="D69" s="8">
        <f ca="1">sigma*SQRT(dt)*_xlfn.NORM.S.INV(RAND())</f>
        <v>-7.9578693702541947E-3</v>
      </c>
      <c r="E69" s="8">
        <f t="shared" ca="1" si="1"/>
        <v>-1.0131711533632614E-2</v>
      </c>
      <c r="G69" s="8">
        <f t="shared" ca="1" si="2"/>
        <v>5.1661871301736744</v>
      </c>
      <c r="H69" s="8">
        <f>mu*dt</f>
        <v>2.5000000000000005E-3</v>
      </c>
      <c r="I69" s="8">
        <f t="shared" ca="1" si="3"/>
        <v>-7.9578693702541947E-3</v>
      </c>
      <c r="J69" s="8">
        <f t="shared" ca="1" si="4"/>
        <v>-5.4578693702541942E-3</v>
      </c>
      <c r="L69" s="8">
        <f t="shared" ca="1" si="5"/>
        <v>5.8847278809402814</v>
      </c>
      <c r="M69" s="8">
        <f ca="1">mu*L68*dt</f>
        <v>1.4792555538130048E-2</v>
      </c>
      <c r="N69" s="8">
        <f t="shared" ca="1" si="6"/>
        <v>-4.7086889849867662E-2</v>
      </c>
      <c r="O69" s="8">
        <f t="shared" ca="1" si="7"/>
        <v>-3.2294334311737616E-2</v>
      </c>
      <c r="Q69" s="7">
        <f t="shared" si="8"/>
        <v>2.8999999999999977</v>
      </c>
      <c r="R69" s="8">
        <f t="shared" ca="1" si="9"/>
        <v>1.1606710100151576E-2</v>
      </c>
      <c r="S69" s="8">
        <f t="shared" ca="1" si="10"/>
        <v>5.1661871301736744</v>
      </c>
      <c r="T69" s="8">
        <f t="shared" ca="1" si="11"/>
        <v>5.8847278809402814</v>
      </c>
    </row>
    <row r="70" spans="1:20" x14ac:dyDescent="0.25">
      <c r="A70" s="7">
        <f>A69+dt</f>
        <v>2.9499999999999975</v>
      </c>
      <c r="B70" s="8">
        <f t="shared" ca="1" si="0"/>
        <v>1.0976611532190416E-2</v>
      </c>
      <c r="C70" s="8">
        <f ca="1">lambda*(a-B69)*dt</f>
        <v>-1.1606710100151576E-3</v>
      </c>
      <c r="D70" s="8">
        <f ca="1">sigma*SQRT(dt)*_xlfn.NORM.S.INV(RAND())</f>
        <v>5.3057244205399724E-4</v>
      </c>
      <c r="E70" s="8">
        <f t="shared" ca="1" si="1"/>
        <v>-6.3009856796116036E-4</v>
      </c>
      <c r="G70" s="8">
        <f t="shared" ca="1" si="2"/>
        <v>5.169217702615728</v>
      </c>
      <c r="H70" s="8">
        <f>mu*dt</f>
        <v>2.5000000000000005E-3</v>
      </c>
      <c r="I70" s="8">
        <f t="shared" ca="1" si="3"/>
        <v>5.3057244205399724E-4</v>
      </c>
      <c r="J70" s="8">
        <f t="shared" ca="1" si="4"/>
        <v>3.0305724420539976E-3</v>
      </c>
      <c r="L70" s="8">
        <f t="shared" ca="1" si="5"/>
        <v>5.9025619750852458</v>
      </c>
      <c r="M70" s="8">
        <f ca="1">mu*L69*dt</f>
        <v>1.4711819702350705E-2</v>
      </c>
      <c r="N70" s="8">
        <f t="shared" ca="1" si="6"/>
        <v>3.1222744426137295E-3</v>
      </c>
      <c r="O70" s="8">
        <f t="shared" ca="1" si="7"/>
        <v>1.7834094144964435E-2</v>
      </c>
      <c r="Q70" s="7">
        <f t="shared" si="8"/>
        <v>2.9499999999999975</v>
      </c>
      <c r="R70" s="8">
        <f t="shared" ca="1" si="9"/>
        <v>1.0976611532190416E-2</v>
      </c>
      <c r="S70" s="8">
        <f t="shared" ca="1" si="10"/>
        <v>5.169217702615728</v>
      </c>
      <c r="T70" s="8">
        <f t="shared" ca="1" si="11"/>
        <v>5.9025619750852458</v>
      </c>
    </row>
    <row r="71" spans="1:20" x14ac:dyDescent="0.25">
      <c r="A71" s="7">
        <f>A70+dt</f>
        <v>2.9999999999999973</v>
      </c>
      <c r="B71" s="8">
        <f t="shared" ca="1" si="0"/>
        <v>1.3968963577770201E-2</v>
      </c>
      <c r="C71" s="8">
        <f ca="1">lambda*(a-B70)*dt</f>
        <v>-1.0976611532190416E-3</v>
      </c>
      <c r="D71" s="8">
        <f ca="1">sigma*SQRT(dt)*_xlfn.NORM.S.INV(RAND())</f>
        <v>4.0900131987988255E-3</v>
      </c>
      <c r="E71" s="8">
        <f t="shared" ca="1" si="1"/>
        <v>2.9923520455797841E-3</v>
      </c>
      <c r="G71" s="8">
        <f t="shared" ca="1" si="2"/>
        <v>5.1758077158145266</v>
      </c>
      <c r="H71" s="8">
        <f>mu*dt</f>
        <v>2.5000000000000005E-3</v>
      </c>
      <c r="I71" s="8">
        <f t="shared" ca="1" si="3"/>
        <v>4.0900131987988255E-3</v>
      </c>
      <c r="J71" s="8">
        <f t="shared" ca="1" si="4"/>
        <v>6.590013198798826E-3</v>
      </c>
      <c r="L71" s="8">
        <f t="shared" ca="1" si="5"/>
        <v>5.941459936407786</v>
      </c>
      <c r="M71" s="8">
        <f ca="1">mu*L70*dt</f>
        <v>1.4756404937713116E-2</v>
      </c>
      <c r="N71" s="8">
        <f t="shared" ca="1" si="6"/>
        <v>2.4141556384826721E-2</v>
      </c>
      <c r="O71" s="8">
        <f t="shared" ca="1" si="7"/>
        <v>3.8897961322539837E-2</v>
      </c>
      <c r="Q71" s="7">
        <f t="shared" si="8"/>
        <v>2.9999999999999973</v>
      </c>
      <c r="R71" s="8">
        <f t="shared" ca="1" si="9"/>
        <v>1.3968963577770201E-2</v>
      </c>
      <c r="S71" s="8">
        <f t="shared" ca="1" si="10"/>
        <v>5.1758077158145266</v>
      </c>
      <c r="T71" s="8">
        <f t="shared" ca="1" si="11"/>
        <v>5.941459936407786</v>
      </c>
    </row>
    <row r="72" spans="1:20" x14ac:dyDescent="0.25">
      <c r="A72" s="7">
        <f>A71+dt</f>
        <v>3.0499999999999972</v>
      </c>
      <c r="B72" s="8">
        <f t="shared" ca="1" si="0"/>
        <v>-8.364847441754749E-4</v>
      </c>
      <c r="C72" s="8">
        <f ca="1">lambda*(a-B71)*dt</f>
        <v>-1.3968963577770202E-3</v>
      </c>
      <c r="D72" s="8">
        <f ca="1">sigma*SQRT(dt)*_xlfn.NORM.S.INV(RAND())</f>
        <v>-1.3408551964168656E-2</v>
      </c>
      <c r="E72" s="8">
        <f t="shared" ca="1" si="1"/>
        <v>-1.4805448321945676E-2</v>
      </c>
      <c r="G72" s="8">
        <f t="shared" ca="1" si="2"/>
        <v>5.1648991638503583</v>
      </c>
      <c r="H72" s="8">
        <f>mu*dt</f>
        <v>2.5000000000000005E-3</v>
      </c>
      <c r="I72" s="8">
        <f t="shared" ca="1" si="3"/>
        <v>-1.3408551964168656E-2</v>
      </c>
      <c r="J72" s="8">
        <f t="shared" ca="1" si="4"/>
        <v>-1.0908551964168655E-2</v>
      </c>
      <c r="L72" s="8">
        <f t="shared" ca="1" si="5"/>
        <v>5.8766472119484554</v>
      </c>
      <c r="M72" s="8">
        <f ca="1">mu*L71*dt</f>
        <v>1.4853649841019466E-2</v>
      </c>
      <c r="N72" s="8">
        <f t="shared" ca="1" si="6"/>
        <v>-7.9666374300349993E-2</v>
      </c>
      <c r="O72" s="8">
        <f t="shared" ca="1" si="7"/>
        <v>-6.4812724459330534E-2</v>
      </c>
      <c r="Q72" s="7">
        <f t="shared" si="8"/>
        <v>3.0499999999999972</v>
      </c>
      <c r="R72" s="8">
        <f t="shared" ca="1" si="9"/>
        <v>-8.364847441754749E-4</v>
      </c>
      <c r="S72" s="8">
        <f t="shared" ca="1" si="10"/>
        <v>5.1648991638503583</v>
      </c>
      <c r="T72" s="8">
        <f t="shared" ca="1" si="11"/>
        <v>5.8766472119484554</v>
      </c>
    </row>
    <row r="73" spans="1:20" x14ac:dyDescent="0.25">
      <c r="A73" s="7">
        <f>A72+dt</f>
        <v>3.099999999999997</v>
      </c>
      <c r="B73" s="8">
        <f t="shared" ca="1" si="0"/>
        <v>1.2082312212832876E-2</v>
      </c>
      <c r="C73" s="8">
        <f ca="1">lambda*(a-B72)*dt</f>
        <v>8.3648474417547493E-5</v>
      </c>
      <c r="D73" s="8">
        <f ca="1">sigma*SQRT(dt)*_xlfn.NORM.S.INV(RAND())</f>
        <v>1.2835148482590803E-2</v>
      </c>
      <c r="E73" s="8">
        <f t="shared" ca="1" si="1"/>
        <v>1.2918796957008351E-2</v>
      </c>
      <c r="G73" s="8">
        <f t="shared" ca="1" si="2"/>
        <v>5.1802343123329493</v>
      </c>
      <c r="H73" s="8">
        <f>mu*dt</f>
        <v>2.5000000000000005E-3</v>
      </c>
      <c r="I73" s="8">
        <f t="shared" ca="1" si="3"/>
        <v>1.2835148482590803E-2</v>
      </c>
      <c r="J73" s="8">
        <f t="shared" ca="1" si="4"/>
        <v>1.5335148482590804E-2</v>
      </c>
      <c r="L73" s="8">
        <f t="shared" ca="1" si="5"/>
        <v>5.9667664695234883</v>
      </c>
      <c r="M73" s="8">
        <f ca="1">mu*L72*dt</f>
        <v>1.469161802987114E-2</v>
      </c>
      <c r="N73" s="8">
        <f t="shared" ca="1" si="6"/>
        <v>7.5427639545161698E-2</v>
      </c>
      <c r="O73" s="8">
        <f t="shared" ca="1" si="7"/>
        <v>9.0119257575032835E-2</v>
      </c>
      <c r="Q73" s="7">
        <f t="shared" si="8"/>
        <v>3.099999999999997</v>
      </c>
      <c r="R73" s="8">
        <f t="shared" ca="1" si="9"/>
        <v>1.2082312212832876E-2</v>
      </c>
      <c r="S73" s="8">
        <f t="shared" ca="1" si="10"/>
        <v>5.1802343123329493</v>
      </c>
      <c r="T73" s="8">
        <f t="shared" ca="1" si="11"/>
        <v>5.9667664695234883</v>
      </c>
    </row>
    <row r="74" spans="1:20" x14ac:dyDescent="0.25">
      <c r="A74" s="7">
        <f>A73+dt</f>
        <v>3.1499999999999968</v>
      </c>
      <c r="B74" s="8">
        <f t="shared" ca="1" si="0"/>
        <v>2.3312913672826428E-3</v>
      </c>
      <c r="C74" s="8">
        <f ca="1">lambda*(a-B73)*dt</f>
        <v>-1.2082312212832876E-3</v>
      </c>
      <c r="D74" s="8">
        <f ca="1">sigma*SQRT(dt)*_xlfn.NORM.S.INV(RAND())</f>
        <v>-8.5427896242669457E-3</v>
      </c>
      <c r="E74" s="8">
        <f t="shared" ca="1" si="1"/>
        <v>-9.7510208455502331E-3</v>
      </c>
      <c r="G74" s="8">
        <f t="shared" ca="1" si="2"/>
        <v>5.1741915227086821</v>
      </c>
      <c r="H74" s="8">
        <f>mu*dt</f>
        <v>2.5000000000000005E-3</v>
      </c>
      <c r="I74" s="8">
        <f t="shared" ca="1" si="3"/>
        <v>-8.5427896242669457E-3</v>
      </c>
      <c r="J74" s="8">
        <f t="shared" ca="1" si="4"/>
        <v>-6.0427896242669452E-3</v>
      </c>
      <c r="L74" s="8">
        <f t="shared" ca="1" si="5"/>
        <v>5.9307105550110277</v>
      </c>
      <c r="M74" s="8">
        <f ca="1">mu*L73*dt</f>
        <v>1.4916916173808723E-2</v>
      </c>
      <c r="N74" s="8">
        <f t="shared" ca="1" si="6"/>
        <v>-5.097283068626917E-2</v>
      </c>
      <c r="O74" s="8">
        <f t="shared" ca="1" si="7"/>
        <v>-3.6055914512460444E-2</v>
      </c>
      <c r="Q74" s="7">
        <f t="shared" si="8"/>
        <v>3.1499999999999968</v>
      </c>
      <c r="R74" s="8">
        <f t="shared" ca="1" si="9"/>
        <v>2.3312913672826428E-3</v>
      </c>
      <c r="S74" s="8">
        <f t="shared" ca="1" si="10"/>
        <v>5.1741915227086821</v>
      </c>
      <c r="T74" s="8">
        <f t="shared" ca="1" si="11"/>
        <v>5.9307105550110277</v>
      </c>
    </row>
    <row r="75" spans="1:20" x14ac:dyDescent="0.25">
      <c r="A75" s="7">
        <f>A74+dt</f>
        <v>3.1999999999999966</v>
      </c>
      <c r="B75" s="8">
        <f t="shared" ca="1" si="0"/>
        <v>6.2310337732166075E-3</v>
      </c>
      <c r="C75" s="8">
        <f ca="1">lambda*(a-B74)*dt</f>
        <v>-2.3312913672826429E-4</v>
      </c>
      <c r="D75" s="8">
        <f ca="1">sigma*SQRT(dt)*_xlfn.NORM.S.INV(RAND())</f>
        <v>4.1328715426622292E-3</v>
      </c>
      <c r="E75" s="8">
        <f t="shared" ca="1" si="1"/>
        <v>3.8997424059339647E-3</v>
      </c>
      <c r="G75" s="8">
        <f t="shared" ca="1" si="2"/>
        <v>5.1808243942513439</v>
      </c>
      <c r="H75" s="8">
        <f>mu*dt</f>
        <v>2.5000000000000005E-3</v>
      </c>
      <c r="I75" s="8">
        <f t="shared" ca="1" si="3"/>
        <v>4.1328715426622292E-3</v>
      </c>
      <c r="J75" s="8">
        <f t="shared" ca="1" si="4"/>
        <v>6.6328715426622296E-3</v>
      </c>
      <c r="L75" s="8">
        <f t="shared" ca="1" si="5"/>
        <v>5.9700481962791265</v>
      </c>
      <c r="M75" s="8">
        <f ca="1">mu*L74*dt</f>
        <v>1.4826776387527572E-2</v>
      </c>
      <c r="N75" s="8">
        <f t="shared" ca="1" si="6"/>
        <v>2.4510864880571592E-2</v>
      </c>
      <c r="O75" s="8">
        <f t="shared" ca="1" si="7"/>
        <v>3.9337641268099161E-2</v>
      </c>
      <c r="Q75" s="7">
        <f t="shared" si="8"/>
        <v>3.1999999999999966</v>
      </c>
      <c r="R75" s="8">
        <f t="shared" ca="1" si="9"/>
        <v>6.2310337732166075E-3</v>
      </c>
      <c r="S75" s="8">
        <f t="shared" ca="1" si="10"/>
        <v>5.1808243942513439</v>
      </c>
      <c r="T75" s="8">
        <f t="shared" ca="1" si="11"/>
        <v>5.9700481962791265</v>
      </c>
    </row>
    <row r="76" spans="1:20" x14ac:dyDescent="0.25">
      <c r="A76" s="7">
        <f>A75+dt</f>
        <v>3.2499999999999964</v>
      </c>
      <c r="B76" s="8">
        <f t="shared" ca="1" si="0"/>
        <v>-3.7756987429268165E-3</v>
      </c>
      <c r="C76" s="8">
        <f ca="1">lambda*(a-B75)*dt</f>
        <v>-6.2310337732166075E-4</v>
      </c>
      <c r="D76" s="8">
        <f ca="1">sigma*SQRT(dt)*_xlfn.NORM.S.INV(RAND())</f>
        <v>-9.3836291388217623E-3</v>
      </c>
      <c r="E76" s="8">
        <f t="shared" ca="1" si="1"/>
        <v>-1.0006732516143424E-2</v>
      </c>
      <c r="G76" s="8">
        <f t="shared" ca="1" si="2"/>
        <v>5.1739407651125218</v>
      </c>
      <c r="H76" s="8">
        <f>mu*dt</f>
        <v>2.5000000000000005E-3</v>
      </c>
      <c r="I76" s="8">
        <f t="shared" ca="1" si="3"/>
        <v>-9.3836291388217623E-3</v>
      </c>
      <c r="J76" s="8">
        <f t="shared" ca="1" si="4"/>
        <v>-6.8836291388217619E-3</v>
      </c>
      <c r="L76" s="8">
        <f t="shared" ca="1" si="5"/>
        <v>5.9289525985550489</v>
      </c>
      <c r="M76" s="8">
        <f ca="1">mu*L75*dt</f>
        <v>1.4925120490697816E-2</v>
      </c>
      <c r="N76" s="8">
        <f t="shared" ca="1" si="6"/>
        <v>-5.6020718214775118E-2</v>
      </c>
      <c r="O76" s="8">
        <f t="shared" ca="1" si="7"/>
        <v>-4.1095597724077303E-2</v>
      </c>
      <c r="Q76" s="7">
        <f t="shared" si="8"/>
        <v>3.2499999999999964</v>
      </c>
      <c r="R76" s="8">
        <f t="shared" ca="1" si="9"/>
        <v>-3.7756987429268165E-3</v>
      </c>
      <c r="S76" s="8">
        <f t="shared" ca="1" si="10"/>
        <v>5.1739407651125218</v>
      </c>
      <c r="T76" s="8">
        <f t="shared" ca="1" si="11"/>
        <v>5.9289525985550489</v>
      </c>
    </row>
    <row r="77" spans="1:20" x14ac:dyDescent="0.25">
      <c r="A77" s="7">
        <f>A76+dt</f>
        <v>3.2999999999999963</v>
      </c>
      <c r="B77" s="8">
        <f t="shared" ref="B77:B140" ca="1" si="12">B76+E77</f>
        <v>-4.7088031739064926E-4</v>
      </c>
      <c r="C77" s="8">
        <f ca="1">lambda*(a-B76)*dt</f>
        <v>3.7756987429268167E-4</v>
      </c>
      <c r="D77" s="8">
        <f ca="1">sigma*SQRT(dt)*_xlfn.NORM.S.INV(RAND())</f>
        <v>2.9272485512434857E-3</v>
      </c>
      <c r="E77" s="8">
        <f t="shared" ref="E77:E140" ca="1" si="13">C77+D77</f>
        <v>3.3048184255361672E-3</v>
      </c>
      <c r="G77" s="8">
        <f t="shared" ref="G77:G140" ca="1" si="14">G76+J77</f>
        <v>5.1793680136637654</v>
      </c>
      <c r="H77" s="8">
        <f>mu*dt</f>
        <v>2.5000000000000005E-3</v>
      </c>
      <c r="I77" s="8">
        <f t="shared" ref="I77:I140" ca="1" si="15">D77</f>
        <v>2.9272485512434857E-3</v>
      </c>
      <c r="J77" s="8">
        <f t="shared" ref="J77:J140" ca="1" si="16">H77+I77</f>
        <v>5.4272485512434857E-3</v>
      </c>
      <c r="L77" s="8">
        <f t="shared" ref="L77:L140" ca="1" si="17">L76+O77</f>
        <v>5.9611304979559483</v>
      </c>
      <c r="M77" s="8">
        <f ca="1">mu*L76*dt</f>
        <v>1.4822381496387625E-2</v>
      </c>
      <c r="N77" s="8">
        <f t="shared" ref="N77:N140" ca="1" si="18">L76*D77</f>
        <v>1.7355517904511567E-2</v>
      </c>
      <c r="O77" s="8">
        <f t="shared" ref="O77:O140" ca="1" si="19">M77+N77</f>
        <v>3.2177899400899192E-2</v>
      </c>
      <c r="Q77" s="7">
        <f t="shared" ref="Q77:Q140" si="20">A77</f>
        <v>3.2999999999999963</v>
      </c>
      <c r="R77" s="8">
        <f t="shared" ref="R77:R140" ca="1" si="21">B77</f>
        <v>-4.7088031739064926E-4</v>
      </c>
      <c r="S77" s="8">
        <f t="shared" ref="S77:S140" ca="1" si="22">G77</f>
        <v>5.1793680136637654</v>
      </c>
      <c r="T77" s="8">
        <f t="shared" ref="T77:T140" ca="1" si="23">L77</f>
        <v>5.9611304979559483</v>
      </c>
    </row>
    <row r="78" spans="1:20" x14ac:dyDescent="0.25">
      <c r="A78" s="7">
        <f>A77+dt</f>
        <v>3.3499999999999961</v>
      </c>
      <c r="B78" s="8">
        <f t="shared" ca="1" si="12"/>
        <v>-1.6906927516088559E-2</v>
      </c>
      <c r="C78" s="8">
        <f ca="1">lambda*(a-B77)*dt</f>
        <v>4.7088031739064929E-5</v>
      </c>
      <c r="D78" s="8">
        <f ca="1">sigma*SQRT(dt)*_xlfn.NORM.S.INV(RAND())</f>
        <v>-1.6483135230436975E-2</v>
      </c>
      <c r="E78" s="8">
        <f t="shared" ca="1" si="13"/>
        <v>-1.6436047198697911E-2</v>
      </c>
      <c r="G78" s="8">
        <f t="shared" ca="1" si="14"/>
        <v>5.1653848784333283</v>
      </c>
      <c r="H78" s="8">
        <f>mu*dt</f>
        <v>2.5000000000000005E-3</v>
      </c>
      <c r="I78" s="8">
        <f t="shared" ca="1" si="15"/>
        <v>-1.6483135230436975E-2</v>
      </c>
      <c r="J78" s="8">
        <f t="shared" ca="1" si="16"/>
        <v>-1.3983135230436974E-2</v>
      </c>
      <c r="L78" s="8">
        <f t="shared" ca="1" si="17"/>
        <v>5.8777752040767481</v>
      </c>
      <c r="M78" s="8">
        <f ca="1">mu*L77*dt</f>
        <v>1.4902826244889873E-2</v>
      </c>
      <c r="N78" s="8">
        <f t="shared" ca="1" si="18"/>
        <v>-9.8258120124089993E-2</v>
      </c>
      <c r="O78" s="8">
        <f t="shared" ca="1" si="19"/>
        <v>-8.3355293879200126E-2</v>
      </c>
      <c r="Q78" s="7">
        <f t="shared" si="20"/>
        <v>3.3499999999999961</v>
      </c>
      <c r="R78" s="8">
        <f t="shared" ca="1" si="21"/>
        <v>-1.6906927516088559E-2</v>
      </c>
      <c r="S78" s="8">
        <f t="shared" ca="1" si="22"/>
        <v>5.1653848784333283</v>
      </c>
      <c r="T78" s="8">
        <f t="shared" ca="1" si="23"/>
        <v>5.8777752040767481</v>
      </c>
    </row>
    <row r="79" spans="1:20" x14ac:dyDescent="0.25">
      <c r="A79" s="7">
        <f>A78+dt</f>
        <v>3.3999999999999959</v>
      </c>
      <c r="B79" s="8">
        <f t="shared" ca="1" si="12"/>
        <v>-6.4886898135436237E-3</v>
      </c>
      <c r="C79" s="8">
        <f ca="1">lambda*(a-B78)*dt</f>
        <v>1.690692751608856E-3</v>
      </c>
      <c r="D79" s="8">
        <f ca="1">sigma*SQRT(dt)*_xlfn.NORM.S.INV(RAND())</f>
        <v>8.7275449509360802E-3</v>
      </c>
      <c r="E79" s="8">
        <f t="shared" ca="1" si="13"/>
        <v>1.0418237702544936E-2</v>
      </c>
      <c r="G79" s="8">
        <f t="shared" ca="1" si="14"/>
        <v>5.1766124233842641</v>
      </c>
      <c r="H79" s="8">
        <f>mu*dt</f>
        <v>2.5000000000000005E-3</v>
      </c>
      <c r="I79" s="8">
        <f t="shared" ca="1" si="15"/>
        <v>8.7275449509360802E-3</v>
      </c>
      <c r="J79" s="8">
        <f t="shared" ca="1" si="16"/>
        <v>1.1227544950936081E-2</v>
      </c>
      <c r="L79" s="8">
        <f t="shared" ca="1" si="17"/>
        <v>5.9437681893920171</v>
      </c>
      <c r="M79" s="8">
        <f ca="1">mu*L78*dt</f>
        <v>1.4694438010191872E-2</v>
      </c>
      <c r="N79" s="8">
        <f t="shared" ca="1" si="18"/>
        <v>5.1298547305077311E-2</v>
      </c>
      <c r="O79" s="8">
        <f t="shared" ca="1" si="19"/>
        <v>6.5992985315269176E-2</v>
      </c>
      <c r="Q79" s="7">
        <f t="shared" si="20"/>
        <v>3.3999999999999959</v>
      </c>
      <c r="R79" s="8">
        <f t="shared" ca="1" si="21"/>
        <v>-6.4886898135436237E-3</v>
      </c>
      <c r="S79" s="8">
        <f t="shared" ca="1" si="22"/>
        <v>5.1766124233842641</v>
      </c>
      <c r="T79" s="8">
        <f t="shared" ca="1" si="23"/>
        <v>5.9437681893920171</v>
      </c>
    </row>
    <row r="80" spans="1:20" x14ac:dyDescent="0.25">
      <c r="A80" s="7">
        <f>A79+dt</f>
        <v>3.4499999999999957</v>
      </c>
      <c r="B80" s="8">
        <f t="shared" ca="1" si="12"/>
        <v>-1.9653389737119319E-3</v>
      </c>
      <c r="C80" s="8">
        <f ca="1">lambda*(a-B79)*dt</f>
        <v>6.4886898135436239E-4</v>
      </c>
      <c r="D80" s="8">
        <f ca="1">sigma*SQRT(dt)*_xlfn.NORM.S.INV(RAND())</f>
        <v>3.8744818584773291E-3</v>
      </c>
      <c r="E80" s="8">
        <f t="shared" ca="1" si="13"/>
        <v>4.5233508398316918E-3</v>
      </c>
      <c r="G80" s="8">
        <f t="shared" ca="1" si="14"/>
        <v>5.1829869052427417</v>
      </c>
      <c r="H80" s="8">
        <f>mu*dt</f>
        <v>2.5000000000000005E-3</v>
      </c>
      <c r="I80" s="8">
        <f t="shared" ca="1" si="15"/>
        <v>3.8744818584773291E-3</v>
      </c>
      <c r="J80" s="8">
        <f t="shared" ca="1" si="16"/>
        <v>6.3744818584773296E-3</v>
      </c>
      <c r="L80" s="8">
        <f t="shared" ca="1" si="17"/>
        <v>5.9816566318862909</v>
      </c>
      <c r="M80" s="8">
        <f ca="1">mu*L79*dt</f>
        <v>1.4859420473480043E-2</v>
      </c>
      <c r="N80" s="8">
        <f t="shared" ca="1" si="18"/>
        <v>2.3029022020794012E-2</v>
      </c>
      <c r="O80" s="8">
        <f t="shared" ca="1" si="19"/>
        <v>3.7888442494274054E-2</v>
      </c>
      <c r="Q80" s="7">
        <f t="shared" si="20"/>
        <v>3.4499999999999957</v>
      </c>
      <c r="R80" s="8">
        <f t="shared" ca="1" si="21"/>
        <v>-1.9653389737119319E-3</v>
      </c>
      <c r="S80" s="8">
        <f t="shared" ca="1" si="22"/>
        <v>5.1829869052427417</v>
      </c>
      <c r="T80" s="8">
        <f t="shared" ca="1" si="23"/>
        <v>5.9816566318862909</v>
      </c>
    </row>
    <row r="81" spans="1:20" x14ac:dyDescent="0.25">
      <c r="A81" s="7">
        <f>A80+dt</f>
        <v>3.4999999999999956</v>
      </c>
      <c r="B81" s="8">
        <f t="shared" ca="1" si="12"/>
        <v>2.799030172619908E-3</v>
      </c>
      <c r="C81" s="8">
        <f ca="1">lambda*(a-B80)*dt</f>
        <v>1.9653389737119321E-4</v>
      </c>
      <c r="D81" s="8">
        <f ca="1">sigma*SQRT(dt)*_xlfn.NORM.S.INV(RAND())</f>
        <v>4.5678352489606465E-3</v>
      </c>
      <c r="E81" s="8">
        <f t="shared" ca="1" si="13"/>
        <v>4.7643691463318399E-3</v>
      </c>
      <c r="G81" s="8">
        <f t="shared" ca="1" si="14"/>
        <v>5.1900547404917026</v>
      </c>
      <c r="H81" s="8">
        <f>mu*dt</f>
        <v>2.5000000000000005E-3</v>
      </c>
      <c r="I81" s="8">
        <f t="shared" ca="1" si="15"/>
        <v>4.5678352489606465E-3</v>
      </c>
      <c r="J81" s="8">
        <f t="shared" ca="1" si="16"/>
        <v>7.067835248960647E-3</v>
      </c>
      <c r="L81" s="8">
        <f t="shared" ca="1" si="17"/>
        <v>6.023933995476316</v>
      </c>
      <c r="M81" s="8">
        <f ca="1">mu*L80*dt</f>
        <v>1.4954141579715727E-2</v>
      </c>
      <c r="N81" s="8">
        <f t="shared" ca="1" si="18"/>
        <v>2.7323222010309418E-2</v>
      </c>
      <c r="O81" s="8">
        <f t="shared" ca="1" si="19"/>
        <v>4.2277363590025145E-2</v>
      </c>
      <c r="Q81" s="7">
        <f t="shared" si="20"/>
        <v>3.4999999999999956</v>
      </c>
      <c r="R81" s="8">
        <f t="shared" ca="1" si="21"/>
        <v>2.799030172619908E-3</v>
      </c>
      <c r="S81" s="8">
        <f t="shared" ca="1" si="22"/>
        <v>5.1900547404917026</v>
      </c>
      <c r="T81" s="8">
        <f t="shared" ca="1" si="23"/>
        <v>6.023933995476316</v>
      </c>
    </row>
    <row r="82" spans="1:20" x14ac:dyDescent="0.25">
      <c r="A82" s="7">
        <f>A81+dt</f>
        <v>3.5499999999999954</v>
      </c>
      <c r="B82" s="8">
        <f t="shared" ca="1" si="12"/>
        <v>-1.0099368839434127E-2</v>
      </c>
      <c r="C82" s="8">
        <f ca="1">lambda*(a-B81)*dt</f>
        <v>-2.7990301726199079E-4</v>
      </c>
      <c r="D82" s="8">
        <f ca="1">sigma*SQRT(dt)*_xlfn.NORM.S.INV(RAND())</f>
        <v>-1.2618495994792044E-2</v>
      </c>
      <c r="E82" s="8">
        <f t="shared" ca="1" si="13"/>
        <v>-1.2898399012054034E-2</v>
      </c>
      <c r="G82" s="8">
        <f t="shared" ca="1" si="14"/>
        <v>5.1799362444969104</v>
      </c>
      <c r="H82" s="8">
        <f>mu*dt</f>
        <v>2.5000000000000005E-3</v>
      </c>
      <c r="I82" s="8">
        <f t="shared" ca="1" si="15"/>
        <v>-1.2618495994792044E-2</v>
      </c>
      <c r="J82" s="8">
        <f t="shared" ca="1" si="16"/>
        <v>-1.0118495994792044E-2</v>
      </c>
      <c r="L82" s="8">
        <f t="shared" ca="1" si="17"/>
        <v>5.9629808434701976</v>
      </c>
      <c r="M82" s="8">
        <f ca="1">mu*L81*dt</f>
        <v>1.505983498869079E-2</v>
      </c>
      <c r="N82" s="8">
        <f t="shared" ca="1" si="18"/>
        <v>-7.6012986994809531E-2</v>
      </c>
      <c r="O82" s="8">
        <f t="shared" ca="1" si="19"/>
        <v>-6.0953152006118741E-2</v>
      </c>
      <c r="Q82" s="7">
        <f t="shared" si="20"/>
        <v>3.5499999999999954</v>
      </c>
      <c r="R82" s="8">
        <f t="shared" ca="1" si="21"/>
        <v>-1.0099368839434127E-2</v>
      </c>
      <c r="S82" s="8">
        <f t="shared" ca="1" si="22"/>
        <v>5.1799362444969104</v>
      </c>
      <c r="T82" s="8">
        <f t="shared" ca="1" si="23"/>
        <v>5.9629808434701976</v>
      </c>
    </row>
    <row r="83" spans="1:20" x14ac:dyDescent="0.25">
      <c r="A83" s="7">
        <f>A82+dt</f>
        <v>3.5999999999999952</v>
      </c>
      <c r="B83" s="8">
        <f t="shared" ca="1" si="12"/>
        <v>-1.086727311679523E-2</v>
      </c>
      <c r="C83" s="8">
        <f ca="1">lambda*(a-B82)*dt</f>
        <v>1.0099368839434127E-3</v>
      </c>
      <c r="D83" s="8">
        <f ca="1">sigma*SQRT(dt)*_xlfn.NORM.S.INV(RAND())</f>
        <v>-1.7778411613045149E-3</v>
      </c>
      <c r="E83" s="8">
        <f t="shared" ca="1" si="13"/>
        <v>-7.6790427736110221E-4</v>
      </c>
      <c r="G83" s="8">
        <f t="shared" ca="1" si="14"/>
        <v>5.180658403335606</v>
      </c>
      <c r="H83" s="8">
        <f>mu*dt</f>
        <v>2.5000000000000005E-3</v>
      </c>
      <c r="I83" s="8">
        <f t="shared" ca="1" si="15"/>
        <v>-1.7778411613045149E-3</v>
      </c>
      <c r="J83" s="8">
        <f t="shared" ca="1" si="16"/>
        <v>7.2215883869548554E-4</v>
      </c>
      <c r="L83" s="8">
        <f t="shared" ca="1" si="17"/>
        <v>5.9672870627912813</v>
      </c>
      <c r="M83" s="8">
        <f ca="1">mu*L82*dt</f>
        <v>1.4907452108675496E-2</v>
      </c>
      <c r="N83" s="8">
        <f t="shared" ca="1" si="18"/>
        <v>-1.0601232787591633E-2</v>
      </c>
      <c r="O83" s="8">
        <f t="shared" ca="1" si="19"/>
        <v>4.3062193210838626E-3</v>
      </c>
      <c r="Q83" s="7">
        <f t="shared" si="20"/>
        <v>3.5999999999999952</v>
      </c>
      <c r="R83" s="8">
        <f t="shared" ca="1" si="21"/>
        <v>-1.086727311679523E-2</v>
      </c>
      <c r="S83" s="8">
        <f t="shared" ca="1" si="22"/>
        <v>5.180658403335606</v>
      </c>
      <c r="T83" s="8">
        <f t="shared" ca="1" si="23"/>
        <v>5.9672870627912813</v>
      </c>
    </row>
    <row r="84" spans="1:20" x14ac:dyDescent="0.25">
      <c r="A84" s="7">
        <f>A83+dt</f>
        <v>3.649999999999995</v>
      </c>
      <c r="B84" s="8">
        <f t="shared" ca="1" si="12"/>
        <v>-3.4098033308224487E-3</v>
      </c>
      <c r="C84" s="8">
        <f ca="1">lambda*(a-B83)*dt</f>
        <v>1.0867273116795231E-3</v>
      </c>
      <c r="D84" s="8">
        <f ca="1">sigma*SQRT(dt)*_xlfn.NORM.S.INV(RAND())</f>
        <v>6.3707424742932579E-3</v>
      </c>
      <c r="E84" s="8">
        <f t="shared" ca="1" si="13"/>
        <v>7.4574697859727812E-3</v>
      </c>
      <c r="G84" s="8">
        <f t="shared" ca="1" si="14"/>
        <v>5.1895291458098995</v>
      </c>
      <c r="H84" s="8">
        <f>mu*dt</f>
        <v>2.5000000000000005E-3</v>
      </c>
      <c r="I84" s="8">
        <f t="shared" ca="1" si="15"/>
        <v>6.3707424742932579E-3</v>
      </c>
      <c r="J84" s="8">
        <f t="shared" ca="1" si="16"/>
        <v>8.8707424742932584E-3</v>
      </c>
      <c r="L84" s="8">
        <f t="shared" ca="1" si="17"/>
        <v>6.0202213295954845</v>
      </c>
      <c r="M84" s="8">
        <f ca="1">mu*L83*dt</f>
        <v>1.4918217656978204E-2</v>
      </c>
      <c r="N84" s="8">
        <f t="shared" ca="1" si="18"/>
        <v>3.8016049147225076E-2</v>
      </c>
      <c r="O84" s="8">
        <f t="shared" ca="1" si="19"/>
        <v>5.2934266804203281E-2</v>
      </c>
      <c r="Q84" s="7">
        <f t="shared" si="20"/>
        <v>3.649999999999995</v>
      </c>
      <c r="R84" s="8">
        <f t="shared" ca="1" si="21"/>
        <v>-3.4098033308224487E-3</v>
      </c>
      <c r="S84" s="8">
        <f t="shared" ca="1" si="22"/>
        <v>5.1895291458098995</v>
      </c>
      <c r="T84" s="8">
        <f t="shared" ca="1" si="23"/>
        <v>6.0202213295954845</v>
      </c>
    </row>
    <row r="85" spans="1:20" x14ac:dyDescent="0.25">
      <c r="A85" s="7">
        <f>A84+dt</f>
        <v>3.6999999999999948</v>
      </c>
      <c r="B85" s="8">
        <f t="shared" ca="1" si="12"/>
        <v>-2.7960416558143026E-3</v>
      </c>
      <c r="C85" s="8">
        <f ca="1">lambda*(a-B84)*dt</f>
        <v>3.409803330822449E-4</v>
      </c>
      <c r="D85" s="8">
        <f ca="1">sigma*SQRT(dt)*_xlfn.NORM.S.INV(RAND())</f>
        <v>2.7278134192590137E-4</v>
      </c>
      <c r="E85" s="8">
        <f t="shared" ca="1" si="13"/>
        <v>6.1376167500814627E-4</v>
      </c>
      <c r="G85" s="8">
        <f t="shared" ca="1" si="14"/>
        <v>5.1923019271518251</v>
      </c>
      <c r="H85" s="8">
        <f>mu*dt</f>
        <v>2.5000000000000005E-3</v>
      </c>
      <c r="I85" s="8">
        <f t="shared" ca="1" si="15"/>
        <v>2.7278134192590137E-4</v>
      </c>
      <c r="J85" s="8">
        <f t="shared" ca="1" si="16"/>
        <v>2.7727813419259019E-3</v>
      </c>
      <c r="L85" s="8">
        <f t="shared" ca="1" si="17"/>
        <v>6.0369140869724509</v>
      </c>
      <c r="M85" s="8">
        <f ca="1">mu*L84*dt</f>
        <v>1.5050553323988714E-2</v>
      </c>
      <c r="N85" s="8">
        <f t="shared" ca="1" si="18"/>
        <v>1.6422040529779905E-3</v>
      </c>
      <c r="O85" s="8">
        <f t="shared" ca="1" si="19"/>
        <v>1.6692757376966703E-2</v>
      </c>
      <c r="Q85" s="7">
        <f t="shared" si="20"/>
        <v>3.6999999999999948</v>
      </c>
      <c r="R85" s="8">
        <f t="shared" ca="1" si="21"/>
        <v>-2.7960416558143026E-3</v>
      </c>
      <c r="S85" s="8">
        <f t="shared" ca="1" si="22"/>
        <v>5.1923019271518251</v>
      </c>
      <c r="T85" s="8">
        <f t="shared" ca="1" si="23"/>
        <v>6.0369140869724509</v>
      </c>
    </row>
    <row r="86" spans="1:20" x14ac:dyDescent="0.25">
      <c r="A86" s="7">
        <f>A85+dt</f>
        <v>3.7499999999999947</v>
      </c>
      <c r="B86" s="8">
        <f t="shared" ca="1" si="12"/>
        <v>-1.9168269485670124E-3</v>
      </c>
      <c r="C86" s="8">
        <f ca="1">lambda*(a-B85)*dt</f>
        <v>2.7960416558143027E-4</v>
      </c>
      <c r="D86" s="8">
        <f ca="1">sigma*SQRT(dt)*_xlfn.NORM.S.INV(RAND())</f>
        <v>5.9961054166585983E-4</v>
      </c>
      <c r="E86" s="8">
        <f t="shared" ca="1" si="13"/>
        <v>8.7921470724729015E-4</v>
      </c>
      <c r="G86" s="8">
        <f t="shared" ca="1" si="14"/>
        <v>5.195401537693491</v>
      </c>
      <c r="H86" s="8">
        <f>mu*dt</f>
        <v>2.5000000000000005E-3</v>
      </c>
      <c r="I86" s="8">
        <f t="shared" ca="1" si="15"/>
        <v>5.9961054166585983E-4</v>
      </c>
      <c r="J86" s="8">
        <f t="shared" ca="1" si="16"/>
        <v>3.0996105416658602E-3</v>
      </c>
      <c r="L86" s="8">
        <f t="shared" ca="1" si="17"/>
        <v>6.0556261695155618</v>
      </c>
      <c r="M86" s="8">
        <f ca="1">mu*L85*dt</f>
        <v>1.5092285217431129E-2</v>
      </c>
      <c r="N86" s="8">
        <f t="shared" ca="1" si="18"/>
        <v>3.6197973256798109E-3</v>
      </c>
      <c r="O86" s="8">
        <f t="shared" ca="1" si="19"/>
        <v>1.871208254311094E-2</v>
      </c>
      <c r="Q86" s="7">
        <f t="shared" si="20"/>
        <v>3.7499999999999947</v>
      </c>
      <c r="R86" s="8">
        <f t="shared" ca="1" si="21"/>
        <v>-1.9168269485670124E-3</v>
      </c>
      <c r="S86" s="8">
        <f t="shared" ca="1" si="22"/>
        <v>5.195401537693491</v>
      </c>
      <c r="T86" s="8">
        <f t="shared" ca="1" si="23"/>
        <v>6.0556261695155618</v>
      </c>
    </row>
    <row r="87" spans="1:20" x14ac:dyDescent="0.25">
      <c r="A87" s="7">
        <f>A86+dt</f>
        <v>3.7999999999999945</v>
      </c>
      <c r="B87" s="8">
        <f t="shared" ca="1" si="12"/>
        <v>3.8616764157112802E-3</v>
      </c>
      <c r="C87" s="8">
        <f ca="1">lambda*(a-B86)*dt</f>
        <v>1.9168269485670124E-4</v>
      </c>
      <c r="D87" s="8">
        <f ca="1">sigma*SQRT(dt)*_xlfn.NORM.S.INV(RAND())</f>
        <v>5.5868206694215912E-3</v>
      </c>
      <c r="E87" s="8">
        <f t="shared" ca="1" si="13"/>
        <v>5.7785033642782924E-3</v>
      </c>
      <c r="G87" s="8">
        <f t="shared" ca="1" si="14"/>
        <v>5.2034883583629128</v>
      </c>
      <c r="H87" s="8">
        <f>mu*dt</f>
        <v>2.5000000000000005E-3</v>
      </c>
      <c r="I87" s="8">
        <f t="shared" ca="1" si="15"/>
        <v>5.5868206694215912E-3</v>
      </c>
      <c r="J87" s="8">
        <f t="shared" ca="1" si="16"/>
        <v>8.0868206694215926E-3</v>
      </c>
      <c r="L87" s="8">
        <f t="shared" ca="1" si="17"/>
        <v>6.1045969323894909</v>
      </c>
      <c r="M87" s="8">
        <f ca="1">mu*L86*dt</f>
        <v>1.5139065423788907E-2</v>
      </c>
      <c r="N87" s="8">
        <f t="shared" ca="1" si="18"/>
        <v>3.3831697450139836E-2</v>
      </c>
      <c r="O87" s="8">
        <f t="shared" ca="1" si="19"/>
        <v>4.8970762873928743E-2</v>
      </c>
      <c r="Q87" s="7">
        <f t="shared" si="20"/>
        <v>3.7999999999999945</v>
      </c>
      <c r="R87" s="8">
        <f t="shared" ca="1" si="21"/>
        <v>3.8616764157112802E-3</v>
      </c>
      <c r="S87" s="8">
        <f t="shared" ca="1" si="22"/>
        <v>5.2034883583629128</v>
      </c>
      <c r="T87" s="8">
        <f t="shared" ca="1" si="23"/>
        <v>6.1045969323894909</v>
      </c>
    </row>
    <row r="88" spans="1:20" x14ac:dyDescent="0.25">
      <c r="A88" s="7">
        <f>A87+dt</f>
        <v>3.8499999999999943</v>
      </c>
      <c r="B88" s="8">
        <f t="shared" ca="1" si="12"/>
        <v>1.1501829805939372E-5</v>
      </c>
      <c r="C88" s="8">
        <f ca="1">lambda*(a-B87)*dt</f>
        <v>-3.8616764157112802E-4</v>
      </c>
      <c r="D88" s="8">
        <f ca="1">sigma*SQRT(dt)*_xlfn.NORM.S.INV(RAND())</f>
        <v>-3.4640069443342128E-3</v>
      </c>
      <c r="E88" s="8">
        <f t="shared" ca="1" si="13"/>
        <v>-3.8501745859053408E-3</v>
      </c>
      <c r="G88" s="8">
        <f t="shared" ca="1" si="14"/>
        <v>5.2025243514185782</v>
      </c>
      <c r="H88" s="8">
        <f>mu*dt</f>
        <v>2.5000000000000005E-3</v>
      </c>
      <c r="I88" s="8">
        <f t="shared" ca="1" si="15"/>
        <v>-3.4640069443342128E-3</v>
      </c>
      <c r="J88" s="8">
        <f t="shared" ca="1" si="16"/>
        <v>-9.6400694433421228E-4</v>
      </c>
      <c r="L88" s="8">
        <f t="shared" ca="1" si="17"/>
        <v>6.0987120585543062</v>
      </c>
      <c r="M88" s="8">
        <f ca="1">mu*L87*dt</f>
        <v>1.5261492330973729E-2</v>
      </c>
      <c r="N88" s="8">
        <f t="shared" ca="1" si="18"/>
        <v>-2.1146366166158528E-2</v>
      </c>
      <c r="O88" s="8">
        <f t="shared" ca="1" si="19"/>
        <v>-5.8848738351847986E-3</v>
      </c>
      <c r="Q88" s="7">
        <f t="shared" si="20"/>
        <v>3.8499999999999943</v>
      </c>
      <c r="R88" s="8">
        <f t="shared" ca="1" si="21"/>
        <v>1.1501829805939372E-5</v>
      </c>
      <c r="S88" s="8">
        <f t="shared" ca="1" si="22"/>
        <v>5.2025243514185782</v>
      </c>
      <c r="T88" s="8">
        <f t="shared" ca="1" si="23"/>
        <v>6.0987120585543062</v>
      </c>
    </row>
    <row r="89" spans="1:20" x14ac:dyDescent="0.25">
      <c r="A89" s="7">
        <f>A88+dt</f>
        <v>3.8999999999999941</v>
      </c>
      <c r="B89" s="8">
        <f t="shared" ca="1" si="12"/>
        <v>-7.165361311810484E-3</v>
      </c>
      <c r="C89" s="8">
        <f ca="1">lambda*(a-B88)*dt</f>
        <v>-1.1501829805939373E-6</v>
      </c>
      <c r="D89" s="8">
        <f ca="1">sigma*SQRT(dt)*_xlfn.NORM.S.INV(RAND())</f>
        <v>-7.1757129586358295E-3</v>
      </c>
      <c r="E89" s="8">
        <f t="shared" ca="1" si="13"/>
        <v>-7.1768631416164238E-3</v>
      </c>
      <c r="G89" s="8">
        <f t="shared" ca="1" si="14"/>
        <v>5.1978486384599423</v>
      </c>
      <c r="H89" s="8">
        <f>mu*dt</f>
        <v>2.5000000000000005E-3</v>
      </c>
      <c r="I89" s="8">
        <f t="shared" ca="1" si="15"/>
        <v>-7.1757129586358295E-3</v>
      </c>
      <c r="J89" s="8">
        <f t="shared" ca="1" si="16"/>
        <v>-4.675712958635829E-3</v>
      </c>
      <c r="L89" s="8">
        <f t="shared" ca="1" si="17"/>
        <v>6.0701962315511349</v>
      </c>
      <c r="M89" s="8">
        <f ca="1">mu*L88*dt</f>
        <v>1.5246780146385766E-2</v>
      </c>
      <c r="N89" s="8">
        <f t="shared" ca="1" si="18"/>
        <v>-4.376260714955673E-2</v>
      </c>
      <c r="O89" s="8">
        <f t="shared" ca="1" si="19"/>
        <v>-2.8515827003170964E-2</v>
      </c>
      <c r="Q89" s="7">
        <f t="shared" si="20"/>
        <v>3.8999999999999941</v>
      </c>
      <c r="R89" s="8">
        <f t="shared" ca="1" si="21"/>
        <v>-7.165361311810484E-3</v>
      </c>
      <c r="S89" s="8">
        <f t="shared" ca="1" si="22"/>
        <v>5.1978486384599423</v>
      </c>
      <c r="T89" s="8">
        <f t="shared" ca="1" si="23"/>
        <v>6.0701962315511349</v>
      </c>
    </row>
    <row r="90" spans="1:20" x14ac:dyDescent="0.25">
      <c r="A90" s="7">
        <f>A89+dt</f>
        <v>3.949999999999994</v>
      </c>
      <c r="B90" s="8">
        <f t="shared" ca="1" si="12"/>
        <v>6.2068577771816971E-3</v>
      </c>
      <c r="C90" s="8">
        <f ca="1">lambda*(a-B89)*dt</f>
        <v>7.1653613118104848E-4</v>
      </c>
      <c r="D90" s="8">
        <f ca="1">sigma*SQRT(dt)*_xlfn.NORM.S.INV(RAND())</f>
        <v>1.2655682957811132E-2</v>
      </c>
      <c r="E90" s="8">
        <f t="shared" ca="1" si="13"/>
        <v>1.3372219088992181E-2</v>
      </c>
      <c r="G90" s="8">
        <f t="shared" ca="1" si="14"/>
        <v>5.2130043214177535</v>
      </c>
      <c r="H90" s="8">
        <f>mu*dt</f>
        <v>2.5000000000000005E-3</v>
      </c>
      <c r="I90" s="8">
        <f t="shared" ca="1" si="15"/>
        <v>1.2655682957811132E-2</v>
      </c>
      <c r="J90" s="8">
        <f t="shared" ca="1" si="16"/>
        <v>1.5155682957811133E-2</v>
      </c>
      <c r="L90" s="8">
        <f t="shared" ca="1" si="17"/>
        <v>6.1621942011282238</v>
      </c>
      <c r="M90" s="8">
        <f ca="1">mu*L89*dt</f>
        <v>1.5175490578877838E-2</v>
      </c>
      <c r="N90" s="8">
        <f t="shared" ca="1" si="18"/>
        <v>7.6822478998211055E-2</v>
      </c>
      <c r="O90" s="8">
        <f t="shared" ca="1" si="19"/>
        <v>9.1997969577088889E-2</v>
      </c>
      <c r="Q90" s="7">
        <f t="shared" si="20"/>
        <v>3.949999999999994</v>
      </c>
      <c r="R90" s="8">
        <f t="shared" ca="1" si="21"/>
        <v>6.2068577771816971E-3</v>
      </c>
      <c r="S90" s="8">
        <f t="shared" ca="1" si="22"/>
        <v>5.2130043214177535</v>
      </c>
      <c r="T90" s="8">
        <f t="shared" ca="1" si="23"/>
        <v>6.1621942011282238</v>
      </c>
    </row>
    <row r="91" spans="1:20" x14ac:dyDescent="0.25">
      <c r="A91" s="7">
        <f>A90+dt</f>
        <v>3.9999999999999938</v>
      </c>
      <c r="B91" s="8">
        <f t="shared" ca="1" si="12"/>
        <v>3.0215323370676467E-3</v>
      </c>
      <c r="C91" s="8">
        <f ca="1">lambda*(a-B90)*dt</f>
        <v>-6.2068577771816976E-4</v>
      </c>
      <c r="D91" s="8">
        <f ca="1">sigma*SQRT(dt)*_xlfn.NORM.S.INV(RAND())</f>
        <v>-2.5646396623958804E-3</v>
      </c>
      <c r="E91" s="8">
        <f t="shared" ca="1" si="13"/>
        <v>-3.1853254401140504E-3</v>
      </c>
      <c r="G91" s="8">
        <f t="shared" ca="1" si="14"/>
        <v>5.2129396817553575</v>
      </c>
      <c r="H91" s="8">
        <f>mu*dt</f>
        <v>2.5000000000000005E-3</v>
      </c>
      <c r="I91" s="8">
        <f t="shared" ca="1" si="15"/>
        <v>-2.5646396623958804E-3</v>
      </c>
      <c r="J91" s="8">
        <f t="shared" ca="1" si="16"/>
        <v>-6.4639662395879916E-5</v>
      </c>
      <c r="L91" s="8">
        <f t="shared" ca="1" si="17"/>
        <v>6.161795878975445</v>
      </c>
      <c r="M91" s="8">
        <f ca="1">mu*L90*dt</f>
        <v>1.540548550282056E-2</v>
      </c>
      <c r="N91" s="8">
        <f t="shared" ca="1" si="18"/>
        <v>-1.5803807655599338E-2</v>
      </c>
      <c r="O91" s="8">
        <f t="shared" ca="1" si="19"/>
        <v>-3.9832215277877878E-4</v>
      </c>
      <c r="Q91" s="7">
        <f t="shared" si="20"/>
        <v>3.9999999999999938</v>
      </c>
      <c r="R91" s="8">
        <f t="shared" ca="1" si="21"/>
        <v>3.0215323370676467E-3</v>
      </c>
      <c r="S91" s="8">
        <f t="shared" ca="1" si="22"/>
        <v>5.2129396817553575</v>
      </c>
      <c r="T91" s="8">
        <f t="shared" ca="1" si="23"/>
        <v>6.161795878975445</v>
      </c>
    </row>
    <row r="92" spans="1:20" x14ac:dyDescent="0.25">
      <c r="A92" s="7">
        <f>A91+dt</f>
        <v>4.0499999999999936</v>
      </c>
      <c r="B92" s="8">
        <f t="shared" ca="1" si="12"/>
        <v>-2.4527120419780592E-2</v>
      </c>
      <c r="C92" s="8">
        <f ca="1">lambda*(a-B91)*dt</f>
        <v>-3.0215323370676471E-4</v>
      </c>
      <c r="D92" s="8">
        <f ca="1">sigma*SQRT(dt)*_xlfn.NORM.S.INV(RAND())</f>
        <v>-2.7246499523141472E-2</v>
      </c>
      <c r="E92" s="8">
        <f t="shared" ca="1" si="13"/>
        <v>-2.7548652756848237E-2</v>
      </c>
      <c r="G92" s="8">
        <f t="shared" ca="1" si="14"/>
        <v>5.188193182232216</v>
      </c>
      <c r="H92" s="8">
        <f>mu*dt</f>
        <v>2.5000000000000005E-3</v>
      </c>
      <c r="I92" s="8">
        <f t="shared" ca="1" si="15"/>
        <v>-2.7246499523141472E-2</v>
      </c>
      <c r="J92" s="8">
        <f t="shared" ca="1" si="16"/>
        <v>-2.4746499523141473E-2</v>
      </c>
      <c r="L92" s="8">
        <f t="shared" ca="1" si="17"/>
        <v>6.009313000194684</v>
      </c>
      <c r="M92" s="8">
        <f ca="1">mu*L91*dt</f>
        <v>1.5404489697438614E-2</v>
      </c>
      <c r="N92" s="8">
        <f t="shared" ca="1" si="18"/>
        <v>-0.16788736847819954</v>
      </c>
      <c r="O92" s="8">
        <f t="shared" ca="1" si="19"/>
        <v>-0.15248287878076094</v>
      </c>
      <c r="Q92" s="7">
        <f t="shared" si="20"/>
        <v>4.0499999999999936</v>
      </c>
      <c r="R92" s="8">
        <f t="shared" ca="1" si="21"/>
        <v>-2.4527120419780592E-2</v>
      </c>
      <c r="S92" s="8">
        <f t="shared" ca="1" si="22"/>
        <v>5.188193182232216</v>
      </c>
      <c r="T92" s="8">
        <f t="shared" ca="1" si="23"/>
        <v>6.009313000194684</v>
      </c>
    </row>
    <row r="93" spans="1:20" x14ac:dyDescent="0.25">
      <c r="A93" s="7">
        <f>A92+dt</f>
        <v>4.0999999999999934</v>
      </c>
      <c r="B93" s="8">
        <f t="shared" ca="1" si="12"/>
        <v>-1.7696273216020127E-2</v>
      </c>
      <c r="C93" s="8">
        <f ca="1">lambda*(a-B92)*dt</f>
        <v>2.4527120419780592E-3</v>
      </c>
      <c r="D93" s="8">
        <f ca="1">sigma*SQRT(dt)*_xlfn.NORM.S.INV(RAND())</f>
        <v>4.3781351617824043E-3</v>
      </c>
      <c r="E93" s="8">
        <f t="shared" ca="1" si="13"/>
        <v>6.8308472037604635E-3</v>
      </c>
      <c r="G93" s="8">
        <f t="shared" ca="1" si="14"/>
        <v>5.1950713173939986</v>
      </c>
      <c r="H93" s="8">
        <f>mu*dt</f>
        <v>2.5000000000000005E-3</v>
      </c>
      <c r="I93" s="8">
        <f t="shared" ca="1" si="15"/>
        <v>4.3781351617824043E-3</v>
      </c>
      <c r="J93" s="8">
        <f t="shared" ca="1" si="16"/>
        <v>6.8781351617824048E-3</v>
      </c>
      <c r="L93" s="8">
        <f t="shared" ca="1" si="17"/>
        <v>6.0506458672394787</v>
      </c>
      <c r="M93" s="8">
        <f ca="1">mu*L92*dt</f>
        <v>1.5023282500486713E-2</v>
      </c>
      <c r="N93" s="8">
        <f t="shared" ca="1" si="18"/>
        <v>2.630958454430846E-2</v>
      </c>
      <c r="O93" s="8">
        <f t="shared" ca="1" si="19"/>
        <v>4.1332867044795177E-2</v>
      </c>
      <c r="Q93" s="7">
        <f t="shared" si="20"/>
        <v>4.0999999999999934</v>
      </c>
      <c r="R93" s="8">
        <f t="shared" ca="1" si="21"/>
        <v>-1.7696273216020127E-2</v>
      </c>
      <c r="S93" s="8">
        <f t="shared" ca="1" si="22"/>
        <v>5.1950713173939986</v>
      </c>
      <c r="T93" s="8">
        <f t="shared" ca="1" si="23"/>
        <v>6.0506458672394787</v>
      </c>
    </row>
    <row r="94" spans="1:20" x14ac:dyDescent="0.25">
      <c r="A94" s="7">
        <f>A93+dt</f>
        <v>4.1499999999999932</v>
      </c>
      <c r="B94" s="8">
        <f t="shared" ca="1" si="12"/>
        <v>1.0397280669201155E-2</v>
      </c>
      <c r="C94" s="8">
        <f ca="1">lambda*(a-B93)*dt</f>
        <v>1.7696273216020128E-3</v>
      </c>
      <c r="D94" s="8">
        <f ca="1">sigma*SQRT(dt)*_xlfn.NORM.S.INV(RAND())</f>
        <v>2.632392656361927E-2</v>
      </c>
      <c r="E94" s="8">
        <f t="shared" ca="1" si="13"/>
        <v>2.8093553885221282E-2</v>
      </c>
      <c r="G94" s="8">
        <f t="shared" ca="1" si="14"/>
        <v>5.2238952439576183</v>
      </c>
      <c r="H94" s="8">
        <f>mu*dt</f>
        <v>2.5000000000000005E-3</v>
      </c>
      <c r="I94" s="8">
        <f t="shared" ca="1" si="15"/>
        <v>2.632392656361927E-2</v>
      </c>
      <c r="J94" s="8">
        <f t="shared" ca="1" si="16"/>
        <v>2.8823926563619269E-2</v>
      </c>
      <c r="L94" s="8">
        <f t="shared" ca="1" si="17"/>
        <v>6.2250492393792562</v>
      </c>
      <c r="M94" s="8">
        <f ca="1">mu*L93*dt</f>
        <v>1.5126614668098698E-2</v>
      </c>
      <c r="N94" s="8">
        <f t="shared" ca="1" si="18"/>
        <v>0.15927675747167847</v>
      </c>
      <c r="O94" s="8">
        <f t="shared" ca="1" si="19"/>
        <v>0.17440337213977716</v>
      </c>
      <c r="Q94" s="7">
        <f t="shared" si="20"/>
        <v>4.1499999999999932</v>
      </c>
      <c r="R94" s="8">
        <f t="shared" ca="1" si="21"/>
        <v>1.0397280669201155E-2</v>
      </c>
      <c r="S94" s="8">
        <f t="shared" ca="1" si="22"/>
        <v>5.2238952439576183</v>
      </c>
      <c r="T94" s="8">
        <f t="shared" ca="1" si="23"/>
        <v>6.2250492393792562</v>
      </c>
    </row>
    <row r="95" spans="1:20" x14ac:dyDescent="0.25">
      <c r="A95" s="7">
        <f>A94+dt</f>
        <v>4.1999999999999931</v>
      </c>
      <c r="B95" s="8">
        <f t="shared" ca="1" si="12"/>
        <v>1.7045434607022028E-2</v>
      </c>
      <c r="C95" s="8">
        <f ca="1">lambda*(a-B94)*dt</f>
        <v>-1.0397280669201155E-3</v>
      </c>
      <c r="D95" s="8">
        <f ca="1">sigma*SQRT(dt)*_xlfn.NORM.S.INV(RAND())</f>
        <v>7.687882004740988E-3</v>
      </c>
      <c r="E95" s="8">
        <f t="shared" ca="1" si="13"/>
        <v>6.6481539378208726E-3</v>
      </c>
      <c r="G95" s="8">
        <f t="shared" ca="1" si="14"/>
        <v>5.2340831259623597</v>
      </c>
      <c r="H95" s="8">
        <f>mu*dt</f>
        <v>2.5000000000000005E-3</v>
      </c>
      <c r="I95" s="8">
        <f t="shared" ca="1" si="15"/>
        <v>7.687882004740988E-3</v>
      </c>
      <c r="J95" s="8">
        <f t="shared" ca="1" si="16"/>
        <v>1.0187882004740988E-2</v>
      </c>
      <c r="L95" s="8">
        <f t="shared" ca="1" si="17"/>
        <v>6.2884693065037549</v>
      </c>
      <c r="M95" s="8">
        <f ca="1">mu*L94*dt</f>
        <v>1.5562623098448143E-2</v>
      </c>
      <c r="N95" s="8">
        <f t="shared" ca="1" si="18"/>
        <v>4.7857444026050362E-2</v>
      </c>
      <c r="O95" s="8">
        <f t="shared" ca="1" si="19"/>
        <v>6.3420067124498505E-2</v>
      </c>
      <c r="Q95" s="7">
        <f t="shared" si="20"/>
        <v>4.1999999999999931</v>
      </c>
      <c r="R95" s="8">
        <f t="shared" ca="1" si="21"/>
        <v>1.7045434607022028E-2</v>
      </c>
      <c r="S95" s="8">
        <f t="shared" ca="1" si="22"/>
        <v>5.2340831259623597</v>
      </c>
      <c r="T95" s="8">
        <f t="shared" ca="1" si="23"/>
        <v>6.2884693065037549</v>
      </c>
    </row>
    <row r="96" spans="1:20" x14ac:dyDescent="0.25">
      <c r="A96" s="7">
        <f>A95+dt</f>
        <v>4.2499999999999929</v>
      </c>
      <c r="B96" s="8">
        <f t="shared" ca="1" si="12"/>
        <v>1.3179805424426486E-2</v>
      </c>
      <c r="C96" s="8">
        <f ca="1">lambda*(a-B95)*dt</f>
        <v>-1.7045434607022029E-3</v>
      </c>
      <c r="D96" s="8">
        <f ca="1">sigma*SQRT(dt)*_xlfn.NORM.S.INV(RAND())</f>
        <v>-2.161085721893339E-3</v>
      </c>
      <c r="E96" s="8">
        <f t="shared" ca="1" si="13"/>
        <v>-3.8656291825955418E-3</v>
      </c>
      <c r="G96" s="8">
        <f t="shared" ca="1" si="14"/>
        <v>5.2344220402404664</v>
      </c>
      <c r="H96" s="8">
        <f>mu*dt</f>
        <v>2.5000000000000005E-3</v>
      </c>
      <c r="I96" s="8">
        <f t="shared" ca="1" si="15"/>
        <v>-2.161085721893339E-3</v>
      </c>
      <c r="J96" s="8">
        <f t="shared" ca="1" si="16"/>
        <v>3.3891427810666145E-4</v>
      </c>
      <c r="L96" s="8">
        <f t="shared" ca="1" si="17"/>
        <v>6.2906005585391647</v>
      </c>
      <c r="M96" s="8">
        <f ca="1">mu*L95*dt</f>
        <v>1.5721173266259391E-2</v>
      </c>
      <c r="N96" s="8">
        <f t="shared" ca="1" si="18"/>
        <v>-1.3589921230849773E-2</v>
      </c>
      <c r="O96" s="8">
        <f t="shared" ca="1" si="19"/>
        <v>2.1312520354096181E-3</v>
      </c>
      <c r="Q96" s="7">
        <f t="shared" si="20"/>
        <v>4.2499999999999929</v>
      </c>
      <c r="R96" s="8">
        <f t="shared" ca="1" si="21"/>
        <v>1.3179805424426486E-2</v>
      </c>
      <c r="S96" s="8">
        <f t="shared" ca="1" si="22"/>
        <v>5.2344220402404664</v>
      </c>
      <c r="T96" s="8">
        <f t="shared" ca="1" si="23"/>
        <v>6.2906005585391647</v>
      </c>
    </row>
    <row r="97" spans="1:20" x14ac:dyDescent="0.25">
      <c r="A97" s="7">
        <f>A96+dt</f>
        <v>4.2999999999999927</v>
      </c>
      <c r="B97" s="8">
        <f t="shared" ca="1" si="12"/>
        <v>2.1264328618697238E-2</v>
      </c>
      <c r="C97" s="8">
        <f ca="1">lambda*(a-B96)*dt</f>
        <v>-1.3179805424426488E-3</v>
      </c>
      <c r="D97" s="8">
        <f ca="1">sigma*SQRT(dt)*_xlfn.NORM.S.INV(RAND())</f>
        <v>9.4025037367133999E-3</v>
      </c>
      <c r="E97" s="8">
        <f t="shared" ca="1" si="13"/>
        <v>8.084523194270752E-3</v>
      </c>
      <c r="G97" s="8">
        <f t="shared" ca="1" si="14"/>
        <v>5.2463245439771802</v>
      </c>
      <c r="H97" s="8">
        <f>mu*dt</f>
        <v>2.5000000000000005E-3</v>
      </c>
      <c r="I97" s="8">
        <f t="shared" ca="1" si="15"/>
        <v>9.4025037367133999E-3</v>
      </c>
      <c r="J97" s="8">
        <f t="shared" ca="1" si="16"/>
        <v>1.19025037367134E-2</v>
      </c>
      <c r="L97" s="8">
        <f t="shared" ca="1" si="17"/>
        <v>6.3654744551933486</v>
      </c>
      <c r="M97" s="8">
        <f ca="1">mu*L96*dt</f>
        <v>1.5726501396347913E-2</v>
      </c>
      <c r="N97" s="8">
        <f t="shared" ca="1" si="18"/>
        <v>5.9147395257835897E-2</v>
      </c>
      <c r="O97" s="8">
        <f t="shared" ca="1" si="19"/>
        <v>7.4873896654183814E-2</v>
      </c>
      <c r="Q97" s="7">
        <f t="shared" si="20"/>
        <v>4.2999999999999927</v>
      </c>
      <c r="R97" s="8">
        <f t="shared" ca="1" si="21"/>
        <v>2.1264328618697238E-2</v>
      </c>
      <c r="S97" s="8">
        <f t="shared" ca="1" si="22"/>
        <v>5.2463245439771802</v>
      </c>
      <c r="T97" s="8">
        <f t="shared" ca="1" si="23"/>
        <v>6.3654744551933486</v>
      </c>
    </row>
    <row r="98" spans="1:20" x14ac:dyDescent="0.25">
      <c r="A98" s="7">
        <f>A97+dt</f>
        <v>4.3499999999999925</v>
      </c>
      <c r="B98" s="8">
        <f t="shared" ca="1" si="12"/>
        <v>3.6871801921924005E-2</v>
      </c>
      <c r="C98" s="8">
        <f ca="1">lambda*(a-B97)*dt</f>
        <v>-2.1264328618697237E-3</v>
      </c>
      <c r="D98" s="8">
        <f ca="1">sigma*SQRT(dt)*_xlfn.NORM.S.INV(RAND())</f>
        <v>1.7733906165096493E-2</v>
      </c>
      <c r="E98" s="8">
        <f t="shared" ca="1" si="13"/>
        <v>1.5607473303226769E-2</v>
      </c>
      <c r="G98" s="8">
        <f t="shared" ca="1" si="14"/>
        <v>5.2665584501422771</v>
      </c>
      <c r="H98" s="8">
        <f>mu*dt</f>
        <v>2.5000000000000005E-3</v>
      </c>
      <c r="I98" s="8">
        <f t="shared" ca="1" si="15"/>
        <v>1.7733906165096493E-2</v>
      </c>
      <c r="J98" s="8">
        <f t="shared" ca="1" si="16"/>
        <v>2.0233906165096495E-2</v>
      </c>
      <c r="L98" s="8">
        <f t="shared" ca="1" si="17"/>
        <v>6.4942728680160497</v>
      </c>
      <c r="M98" s="8">
        <f ca="1">mu*L97*dt</f>
        <v>1.5913686137983375E-2</v>
      </c>
      <c r="N98" s="8">
        <f t="shared" ca="1" si="18"/>
        <v>0.11288472668471757</v>
      </c>
      <c r="O98" s="8">
        <f t="shared" ca="1" si="19"/>
        <v>0.12879841282270094</v>
      </c>
      <c r="Q98" s="7">
        <f t="shared" si="20"/>
        <v>4.3499999999999925</v>
      </c>
      <c r="R98" s="8">
        <f t="shared" ca="1" si="21"/>
        <v>3.6871801921924005E-2</v>
      </c>
      <c r="S98" s="8">
        <f t="shared" ca="1" si="22"/>
        <v>5.2665584501422771</v>
      </c>
      <c r="T98" s="8">
        <f t="shared" ca="1" si="23"/>
        <v>6.4942728680160497</v>
      </c>
    </row>
    <row r="99" spans="1:20" x14ac:dyDescent="0.25">
      <c r="A99" s="7">
        <f>A98+dt</f>
        <v>4.3999999999999924</v>
      </c>
      <c r="B99" s="8">
        <f t="shared" ca="1" si="12"/>
        <v>1.630625454729194E-2</v>
      </c>
      <c r="C99" s="8">
        <f ca="1">lambda*(a-B98)*dt</f>
        <v>-3.6871801921924009E-3</v>
      </c>
      <c r="D99" s="8">
        <f ca="1">sigma*SQRT(dt)*_xlfn.NORM.S.INV(RAND())</f>
        <v>-1.6878367182439662E-2</v>
      </c>
      <c r="E99" s="8">
        <f t="shared" ca="1" si="13"/>
        <v>-2.0565547374632065E-2</v>
      </c>
      <c r="G99" s="8">
        <f t="shared" ca="1" si="14"/>
        <v>5.2521800829598373</v>
      </c>
      <c r="H99" s="8">
        <f>mu*dt</f>
        <v>2.5000000000000005E-3</v>
      </c>
      <c r="I99" s="8">
        <f t="shared" ca="1" si="15"/>
        <v>-1.6878367182439662E-2</v>
      </c>
      <c r="J99" s="8">
        <f t="shared" ca="1" si="16"/>
        <v>-1.4378367182439662E-2</v>
      </c>
      <c r="L99" s="8">
        <f t="shared" ca="1" si="17"/>
        <v>6.4008958281367594</v>
      </c>
      <c r="M99" s="8">
        <f ca="1">mu*L98*dt</f>
        <v>1.6235682170040126E-2</v>
      </c>
      <c r="N99" s="8">
        <f t="shared" ca="1" si="18"/>
        <v>-0.1096127220493304</v>
      </c>
      <c r="O99" s="8">
        <f t="shared" ca="1" si="19"/>
        <v>-9.3377039879290274E-2</v>
      </c>
      <c r="Q99" s="7">
        <f t="shared" si="20"/>
        <v>4.3999999999999924</v>
      </c>
      <c r="R99" s="8">
        <f t="shared" ca="1" si="21"/>
        <v>1.630625454729194E-2</v>
      </c>
      <c r="S99" s="8">
        <f t="shared" ca="1" si="22"/>
        <v>5.2521800829598373</v>
      </c>
      <c r="T99" s="8">
        <f t="shared" ca="1" si="23"/>
        <v>6.4008958281367594</v>
      </c>
    </row>
    <row r="100" spans="1:20" x14ac:dyDescent="0.25">
      <c r="A100" s="7">
        <f>A99+dt</f>
        <v>4.4499999999999922</v>
      </c>
      <c r="B100" s="8">
        <f t="shared" ca="1" si="12"/>
        <v>9.8600472646249125E-3</v>
      </c>
      <c r="C100" s="8">
        <f ca="1">lambda*(a-B99)*dt</f>
        <v>-1.6306254547291941E-3</v>
      </c>
      <c r="D100" s="8">
        <f ca="1">sigma*SQRT(dt)*_xlfn.NORM.S.INV(RAND())</f>
        <v>-4.8155818279378339E-3</v>
      </c>
      <c r="E100" s="8">
        <f t="shared" ca="1" si="13"/>
        <v>-6.4462072826670276E-3</v>
      </c>
      <c r="G100" s="8">
        <f t="shared" ca="1" si="14"/>
        <v>5.2498645011318992</v>
      </c>
      <c r="H100" s="8">
        <f>mu*dt</f>
        <v>2.5000000000000005E-3</v>
      </c>
      <c r="I100" s="8">
        <f t="shared" ca="1" si="15"/>
        <v>-4.8155818279378339E-3</v>
      </c>
      <c r="J100" s="8">
        <f t="shared" ca="1" si="16"/>
        <v>-2.3155818279378335E-3</v>
      </c>
      <c r="L100" s="8">
        <f t="shared" ca="1" si="17"/>
        <v>6.3860740300746031</v>
      </c>
      <c r="M100" s="8">
        <f ca="1">mu*L99*dt</f>
        <v>1.60022395703419E-2</v>
      </c>
      <c r="N100" s="8">
        <f t="shared" ca="1" si="18"/>
        <v>-3.0824037632498472E-2</v>
      </c>
      <c r="O100" s="8">
        <f t="shared" ca="1" si="19"/>
        <v>-1.4821798062156572E-2</v>
      </c>
      <c r="Q100" s="7">
        <f t="shared" si="20"/>
        <v>4.4499999999999922</v>
      </c>
      <c r="R100" s="8">
        <f t="shared" ca="1" si="21"/>
        <v>9.8600472646249125E-3</v>
      </c>
      <c r="S100" s="8">
        <f t="shared" ca="1" si="22"/>
        <v>5.2498645011318992</v>
      </c>
      <c r="T100" s="8">
        <f t="shared" ca="1" si="23"/>
        <v>6.3860740300746031</v>
      </c>
    </row>
    <row r="101" spans="1:20" x14ac:dyDescent="0.25">
      <c r="A101" s="7">
        <f>A100+dt</f>
        <v>4.499999999999992</v>
      </c>
      <c r="B101" s="8">
        <f t="shared" ca="1" si="12"/>
        <v>3.3313921981628861E-3</v>
      </c>
      <c r="C101" s="8">
        <f ca="1">lambda*(a-B100)*dt</f>
        <v>-9.8600472646249125E-4</v>
      </c>
      <c r="D101" s="8">
        <f ca="1">sigma*SQRT(dt)*_xlfn.NORM.S.INV(RAND())</f>
        <v>-5.5426503399995351E-3</v>
      </c>
      <c r="E101" s="8">
        <f t="shared" ca="1" si="13"/>
        <v>-6.5286550664620264E-3</v>
      </c>
      <c r="G101" s="8">
        <f t="shared" ca="1" si="14"/>
        <v>5.2468218507918998</v>
      </c>
      <c r="H101" s="8">
        <f>mu*dt</f>
        <v>2.5000000000000005E-3</v>
      </c>
      <c r="I101" s="8">
        <f t="shared" ca="1" si="15"/>
        <v>-5.5426503399995351E-3</v>
      </c>
      <c r="J101" s="8">
        <f t="shared" ca="1" si="16"/>
        <v>-3.0426503399995346E-3</v>
      </c>
      <c r="L101" s="8">
        <f t="shared" ca="1" si="17"/>
        <v>6.3666434397557348</v>
      </c>
      <c r="M101" s="8">
        <f ca="1">mu*L100*dt</f>
        <v>1.596518507518651E-2</v>
      </c>
      <c r="N101" s="8">
        <f t="shared" ca="1" si="18"/>
        <v>-3.5395775394055203E-2</v>
      </c>
      <c r="O101" s="8">
        <f t="shared" ca="1" si="19"/>
        <v>-1.9430590318868693E-2</v>
      </c>
      <c r="Q101" s="7">
        <f t="shared" si="20"/>
        <v>4.499999999999992</v>
      </c>
      <c r="R101" s="8">
        <f t="shared" ca="1" si="21"/>
        <v>3.3313921981628861E-3</v>
      </c>
      <c r="S101" s="8">
        <f t="shared" ca="1" si="22"/>
        <v>5.2468218507918998</v>
      </c>
      <c r="T101" s="8">
        <f t="shared" ca="1" si="23"/>
        <v>6.3666434397557348</v>
      </c>
    </row>
    <row r="102" spans="1:20" x14ac:dyDescent="0.25">
      <c r="A102" s="7">
        <f>A101+dt</f>
        <v>4.5499999999999918</v>
      </c>
      <c r="B102" s="8">
        <f t="shared" ca="1" si="12"/>
        <v>1.6102054320365412E-2</v>
      </c>
      <c r="C102" s="8">
        <f ca="1">lambda*(a-B101)*dt</f>
        <v>-3.3313921981628864E-4</v>
      </c>
      <c r="D102" s="8">
        <f ca="1">sigma*SQRT(dt)*_xlfn.NORM.S.INV(RAND())</f>
        <v>1.3103801342018813E-2</v>
      </c>
      <c r="E102" s="8">
        <f t="shared" ca="1" si="13"/>
        <v>1.2770662122202524E-2</v>
      </c>
      <c r="G102" s="8">
        <f t="shared" ca="1" si="14"/>
        <v>5.2624256521339188</v>
      </c>
      <c r="H102" s="8">
        <f>mu*dt</f>
        <v>2.5000000000000005E-3</v>
      </c>
      <c r="I102" s="8">
        <f t="shared" ca="1" si="15"/>
        <v>1.3103801342018813E-2</v>
      </c>
      <c r="J102" s="8">
        <f t="shared" ca="1" si="16"/>
        <v>1.5603801342018813E-2</v>
      </c>
      <c r="L102" s="8">
        <f t="shared" ca="1" si="17"/>
        <v>6.4659872792051507</v>
      </c>
      <c r="M102" s="8">
        <f ca="1">mu*L101*dt</f>
        <v>1.5916608599389339E-2</v>
      </c>
      <c r="N102" s="8">
        <f t="shared" ca="1" si="18"/>
        <v>8.3427230850026471E-2</v>
      </c>
      <c r="O102" s="8">
        <f t="shared" ca="1" si="19"/>
        <v>9.9343839449415813E-2</v>
      </c>
      <c r="Q102" s="7">
        <f t="shared" si="20"/>
        <v>4.5499999999999918</v>
      </c>
      <c r="R102" s="8">
        <f t="shared" ca="1" si="21"/>
        <v>1.6102054320365412E-2</v>
      </c>
      <c r="S102" s="8">
        <f t="shared" ca="1" si="22"/>
        <v>5.2624256521339188</v>
      </c>
      <c r="T102" s="8">
        <f t="shared" ca="1" si="23"/>
        <v>6.4659872792051507</v>
      </c>
    </row>
    <row r="103" spans="1:20" x14ac:dyDescent="0.25">
      <c r="A103" s="7">
        <f>A102+dt</f>
        <v>4.5999999999999917</v>
      </c>
      <c r="B103" s="8">
        <f t="shared" ca="1" si="12"/>
        <v>-9.3635629171989337E-3</v>
      </c>
      <c r="C103" s="8">
        <f ca="1">lambda*(a-B102)*dt</f>
        <v>-1.6102054320365413E-3</v>
      </c>
      <c r="D103" s="8">
        <f ca="1">sigma*SQRT(dt)*_xlfn.NORM.S.INV(RAND())</f>
        <v>-2.3855411805527804E-2</v>
      </c>
      <c r="E103" s="8">
        <f t="shared" ca="1" si="13"/>
        <v>-2.5465617237564346E-2</v>
      </c>
      <c r="G103" s="8">
        <f t="shared" ca="1" si="14"/>
        <v>5.2410702403283906</v>
      </c>
      <c r="H103" s="8">
        <f>mu*dt</f>
        <v>2.5000000000000005E-3</v>
      </c>
      <c r="I103" s="8">
        <f t="shared" ca="1" si="15"/>
        <v>-2.3855411805527804E-2</v>
      </c>
      <c r="J103" s="8">
        <f t="shared" ca="1" si="16"/>
        <v>-2.1355411805527802E-2</v>
      </c>
      <c r="L103" s="8">
        <f t="shared" ca="1" si="17"/>
        <v>6.3279034581284206</v>
      </c>
      <c r="M103" s="8">
        <f ca="1">mu*L102*dt</f>
        <v>1.6164968198012879E-2</v>
      </c>
      <c r="N103" s="8">
        <f t="shared" ca="1" si="18"/>
        <v>-0.15424878927474317</v>
      </c>
      <c r="O103" s="8">
        <f t="shared" ca="1" si="19"/>
        <v>-0.13808382107673028</v>
      </c>
      <c r="Q103" s="7">
        <f t="shared" si="20"/>
        <v>4.5999999999999917</v>
      </c>
      <c r="R103" s="8">
        <f t="shared" ca="1" si="21"/>
        <v>-9.3635629171989337E-3</v>
      </c>
      <c r="S103" s="8">
        <f t="shared" ca="1" si="22"/>
        <v>5.2410702403283906</v>
      </c>
      <c r="T103" s="8">
        <f t="shared" ca="1" si="23"/>
        <v>6.3279034581284206</v>
      </c>
    </row>
    <row r="104" spans="1:20" x14ac:dyDescent="0.25">
      <c r="A104" s="7">
        <f>A103+dt</f>
        <v>4.6499999999999915</v>
      </c>
      <c r="B104" s="8">
        <f t="shared" ca="1" si="12"/>
        <v>-1.133344018281735E-2</v>
      </c>
      <c r="C104" s="8">
        <f ca="1">lambda*(a-B103)*dt</f>
        <v>9.3635629171989342E-4</v>
      </c>
      <c r="D104" s="8">
        <f ca="1">sigma*SQRT(dt)*_xlfn.NORM.S.INV(RAND())</f>
        <v>-2.9062335573383099E-3</v>
      </c>
      <c r="E104" s="8">
        <f t="shared" ca="1" si="13"/>
        <v>-1.9698772656184162E-3</v>
      </c>
      <c r="G104" s="8">
        <f t="shared" ca="1" si="14"/>
        <v>5.2406640067710519</v>
      </c>
      <c r="H104" s="8">
        <f>mu*dt</f>
        <v>2.5000000000000005E-3</v>
      </c>
      <c r="I104" s="8">
        <f t="shared" ca="1" si="15"/>
        <v>-2.9062335573383099E-3</v>
      </c>
      <c r="J104" s="8">
        <f t="shared" ca="1" si="16"/>
        <v>-4.0623355733830939E-4</v>
      </c>
      <c r="L104" s="8">
        <f t="shared" ca="1" si="17"/>
        <v>6.3253328513961318</v>
      </c>
      <c r="M104" s="8">
        <f ca="1">mu*L103*dt</f>
        <v>1.5819758645321053E-2</v>
      </c>
      <c r="N104" s="8">
        <f t="shared" ca="1" si="18"/>
        <v>-1.8390365377609953E-2</v>
      </c>
      <c r="O104" s="8">
        <f t="shared" ca="1" si="19"/>
        <v>-2.5706067322888992E-3</v>
      </c>
      <c r="Q104" s="7">
        <f t="shared" si="20"/>
        <v>4.6499999999999915</v>
      </c>
      <c r="R104" s="8">
        <f t="shared" ca="1" si="21"/>
        <v>-1.133344018281735E-2</v>
      </c>
      <c r="S104" s="8">
        <f t="shared" ca="1" si="22"/>
        <v>5.2406640067710519</v>
      </c>
      <c r="T104" s="8">
        <f t="shared" ca="1" si="23"/>
        <v>6.3253328513961318</v>
      </c>
    </row>
    <row r="105" spans="1:20" x14ac:dyDescent="0.25">
      <c r="A105" s="7">
        <f>A104+dt</f>
        <v>4.6999999999999913</v>
      </c>
      <c r="B105" s="8">
        <f t="shared" ca="1" si="12"/>
        <v>-1.9026836377919437E-2</v>
      </c>
      <c r="C105" s="8">
        <f ca="1">lambda*(a-B104)*dt</f>
        <v>1.133344018281735E-3</v>
      </c>
      <c r="D105" s="8">
        <f ca="1">sigma*SQRT(dt)*_xlfn.NORM.S.INV(RAND())</f>
        <v>-8.8267402133838206E-3</v>
      </c>
      <c r="E105" s="8">
        <f t="shared" ca="1" si="13"/>
        <v>-7.6933961951020854E-3</v>
      </c>
      <c r="G105" s="8">
        <f t="shared" ca="1" si="14"/>
        <v>5.2343372665576684</v>
      </c>
      <c r="H105" s="8">
        <f>mu*dt</f>
        <v>2.5000000000000005E-3</v>
      </c>
      <c r="I105" s="8">
        <f t="shared" ca="1" si="15"/>
        <v>-8.8267402133838206E-3</v>
      </c>
      <c r="J105" s="8">
        <f t="shared" ca="1" si="16"/>
        <v>-6.3267402133838201E-3</v>
      </c>
      <c r="L105" s="8">
        <f t="shared" ca="1" si="17"/>
        <v>6.2853141136821664</v>
      </c>
      <c r="M105" s="8">
        <f ca="1">mu*L104*dt</f>
        <v>1.5813332128490332E-2</v>
      </c>
      <c r="N105" s="8">
        <f t="shared" ca="1" si="18"/>
        <v>-5.5832069842455985E-2</v>
      </c>
      <c r="O105" s="8">
        <f t="shared" ca="1" si="19"/>
        <v>-4.0018737713965649E-2</v>
      </c>
      <c r="Q105" s="7">
        <f t="shared" si="20"/>
        <v>4.6999999999999913</v>
      </c>
      <c r="R105" s="8">
        <f t="shared" ca="1" si="21"/>
        <v>-1.9026836377919437E-2</v>
      </c>
      <c r="S105" s="8">
        <f t="shared" ca="1" si="22"/>
        <v>5.2343372665576684</v>
      </c>
      <c r="T105" s="8">
        <f t="shared" ca="1" si="23"/>
        <v>6.2853141136821664</v>
      </c>
    </row>
    <row r="106" spans="1:20" x14ac:dyDescent="0.25">
      <c r="A106" s="7">
        <f>A105+dt</f>
        <v>4.7499999999999911</v>
      </c>
      <c r="B106" s="8">
        <f t="shared" ca="1" si="12"/>
        <v>-1.7404455980918609E-2</v>
      </c>
      <c r="C106" s="8">
        <f ca="1">lambda*(a-B105)*dt</f>
        <v>1.9026836377919439E-3</v>
      </c>
      <c r="D106" s="8">
        <f ca="1">sigma*SQRT(dt)*_xlfn.NORM.S.INV(RAND())</f>
        <v>-2.8030324079111554E-4</v>
      </c>
      <c r="E106" s="8">
        <f t="shared" ca="1" si="13"/>
        <v>1.6223803970008284E-3</v>
      </c>
      <c r="G106" s="8">
        <f t="shared" ca="1" si="14"/>
        <v>5.2365569633168771</v>
      </c>
      <c r="H106" s="8">
        <f>mu*dt</f>
        <v>2.5000000000000005E-3</v>
      </c>
      <c r="I106" s="8">
        <f t="shared" ca="1" si="15"/>
        <v>-2.8030324079111554E-4</v>
      </c>
      <c r="J106" s="8">
        <f t="shared" ca="1" si="16"/>
        <v>2.2196967592088852E-3</v>
      </c>
      <c r="L106" s="8">
        <f t="shared" ca="1" si="17"/>
        <v>6.2992656050509162</v>
      </c>
      <c r="M106" s="8">
        <f ca="1">mu*L105*dt</f>
        <v>1.5713285284205417E-2</v>
      </c>
      <c r="N106" s="8">
        <f t="shared" ca="1" si="18"/>
        <v>-1.7617939154552491E-3</v>
      </c>
      <c r="O106" s="8">
        <f t="shared" ca="1" si="19"/>
        <v>1.3951491368750167E-2</v>
      </c>
      <c r="Q106" s="7">
        <f t="shared" si="20"/>
        <v>4.7499999999999911</v>
      </c>
      <c r="R106" s="8">
        <f t="shared" ca="1" si="21"/>
        <v>-1.7404455980918609E-2</v>
      </c>
      <c r="S106" s="8">
        <f t="shared" ca="1" si="22"/>
        <v>5.2365569633168771</v>
      </c>
      <c r="T106" s="8">
        <f t="shared" ca="1" si="23"/>
        <v>6.2992656050509162</v>
      </c>
    </row>
    <row r="107" spans="1:20" x14ac:dyDescent="0.25">
      <c r="A107" s="7">
        <f>A106+dt</f>
        <v>4.7999999999999909</v>
      </c>
      <c r="B107" s="8">
        <f t="shared" ca="1" si="12"/>
        <v>-2.0176582558598159E-2</v>
      </c>
      <c r="C107" s="8">
        <f ca="1">lambda*(a-B106)*dt</f>
        <v>1.7404455980918609E-3</v>
      </c>
      <c r="D107" s="8">
        <f ca="1">sigma*SQRT(dt)*_xlfn.NORM.S.INV(RAND())</f>
        <v>-4.512572175771409E-3</v>
      </c>
      <c r="E107" s="8">
        <f t="shared" ca="1" si="13"/>
        <v>-2.7721265776795481E-3</v>
      </c>
      <c r="G107" s="8">
        <f t="shared" ca="1" si="14"/>
        <v>5.2345443911411058</v>
      </c>
      <c r="H107" s="8">
        <f>mu*dt</f>
        <v>2.5000000000000005E-3</v>
      </c>
      <c r="I107" s="8">
        <f t="shared" ca="1" si="15"/>
        <v>-4.512572175771409E-3</v>
      </c>
      <c r="J107" s="8">
        <f t="shared" ca="1" si="16"/>
        <v>-2.0125721757714085E-3</v>
      </c>
      <c r="L107" s="8">
        <f t="shared" ca="1" si="17"/>
        <v>6.2865878783663964</v>
      </c>
      <c r="M107" s="8">
        <f ca="1">mu*L106*dt</f>
        <v>1.5748164012627294E-2</v>
      </c>
      <c r="N107" s="8">
        <f t="shared" ca="1" si="18"/>
        <v>-2.8425890697146614E-2</v>
      </c>
      <c r="O107" s="8">
        <f t="shared" ca="1" si="19"/>
        <v>-1.267772668451932E-2</v>
      </c>
      <c r="Q107" s="7">
        <f t="shared" si="20"/>
        <v>4.7999999999999909</v>
      </c>
      <c r="R107" s="8">
        <f t="shared" ca="1" si="21"/>
        <v>-2.0176582558598159E-2</v>
      </c>
      <c r="S107" s="8">
        <f t="shared" ca="1" si="22"/>
        <v>5.2345443911411058</v>
      </c>
      <c r="T107" s="8">
        <f t="shared" ca="1" si="23"/>
        <v>6.2865878783663964</v>
      </c>
    </row>
    <row r="108" spans="1:20" x14ac:dyDescent="0.25">
      <c r="A108" s="7">
        <f>A107+dt</f>
        <v>4.8499999999999908</v>
      </c>
      <c r="B108" s="8">
        <f t="shared" ca="1" si="12"/>
        <v>-2.0134393219182964E-2</v>
      </c>
      <c r="C108" s="8">
        <f ca="1">lambda*(a-B107)*dt</f>
        <v>2.0176582558598158E-3</v>
      </c>
      <c r="D108" s="8">
        <f ca="1">sigma*SQRT(dt)*_xlfn.NORM.S.INV(RAND())</f>
        <v>-1.9754689164446196E-3</v>
      </c>
      <c r="E108" s="8">
        <f t="shared" ca="1" si="13"/>
        <v>4.2189339415196238E-5</v>
      </c>
      <c r="G108" s="8">
        <f t="shared" ca="1" si="14"/>
        <v>5.2350689222246611</v>
      </c>
      <c r="H108" s="8">
        <f>mu*dt</f>
        <v>2.5000000000000005E-3</v>
      </c>
      <c r="I108" s="8">
        <f t="shared" ca="1" si="15"/>
        <v>-1.9754689164446196E-3</v>
      </c>
      <c r="J108" s="8">
        <f t="shared" ca="1" si="16"/>
        <v>5.2453108355538089E-4</v>
      </c>
      <c r="L108" s="8">
        <f t="shared" ca="1" si="17"/>
        <v>6.2898853891181021</v>
      </c>
      <c r="M108" s="8">
        <f ca="1">mu*L107*dt</f>
        <v>1.5716469695915992E-2</v>
      </c>
      <c r="N108" s="8">
        <f t="shared" ca="1" si="18"/>
        <v>-1.2418958944210344E-2</v>
      </c>
      <c r="O108" s="8">
        <f t="shared" ca="1" si="19"/>
        <v>3.2975107517056474E-3</v>
      </c>
      <c r="Q108" s="7">
        <f t="shared" si="20"/>
        <v>4.8499999999999908</v>
      </c>
      <c r="R108" s="8">
        <f t="shared" ca="1" si="21"/>
        <v>-2.0134393219182964E-2</v>
      </c>
      <c r="S108" s="8">
        <f t="shared" ca="1" si="22"/>
        <v>5.2350689222246611</v>
      </c>
      <c r="T108" s="8">
        <f t="shared" ca="1" si="23"/>
        <v>6.2898853891181021</v>
      </c>
    </row>
    <row r="109" spans="1:20" x14ac:dyDescent="0.25">
      <c r="A109" s="7">
        <f>A108+dt</f>
        <v>4.8999999999999906</v>
      </c>
      <c r="B109" s="8">
        <f t="shared" ca="1" si="12"/>
        <v>-3.6470335747962601E-3</v>
      </c>
      <c r="C109" s="8">
        <f ca="1">lambda*(a-B108)*dt</f>
        <v>2.0134393219182964E-3</v>
      </c>
      <c r="D109" s="8">
        <f ca="1">sigma*SQRT(dt)*_xlfn.NORM.S.INV(RAND())</f>
        <v>1.4473920322468406E-2</v>
      </c>
      <c r="E109" s="8">
        <f t="shared" ca="1" si="13"/>
        <v>1.6487359644386704E-2</v>
      </c>
      <c r="G109" s="8">
        <f t="shared" ca="1" si="14"/>
        <v>5.2520428425471293</v>
      </c>
      <c r="H109" s="8">
        <f>mu*dt</f>
        <v>2.5000000000000005E-3</v>
      </c>
      <c r="I109" s="8">
        <f t="shared" ca="1" si="15"/>
        <v>1.4473920322468406E-2</v>
      </c>
      <c r="J109" s="8">
        <f t="shared" ca="1" si="16"/>
        <v>1.6973920322468406E-2</v>
      </c>
      <c r="L109" s="8">
        <f t="shared" ca="1" si="17"/>
        <v>6.3966494025504508</v>
      </c>
      <c r="M109" s="8">
        <f ca="1">mu*L108*dt</f>
        <v>1.5724713472795259E-2</v>
      </c>
      <c r="N109" s="8">
        <f t="shared" ca="1" si="18"/>
        <v>9.1039299959553593E-2</v>
      </c>
      <c r="O109" s="8">
        <f t="shared" ca="1" si="19"/>
        <v>0.10676401343234886</v>
      </c>
      <c r="Q109" s="7">
        <f t="shared" si="20"/>
        <v>4.8999999999999906</v>
      </c>
      <c r="R109" s="8">
        <f t="shared" ca="1" si="21"/>
        <v>-3.6470335747962601E-3</v>
      </c>
      <c r="S109" s="8">
        <f t="shared" ca="1" si="22"/>
        <v>5.2520428425471293</v>
      </c>
      <c r="T109" s="8">
        <f t="shared" ca="1" si="23"/>
        <v>6.3966494025504508</v>
      </c>
    </row>
    <row r="110" spans="1:20" x14ac:dyDescent="0.25">
      <c r="A110" s="7">
        <f>A109+dt</f>
        <v>4.9499999999999904</v>
      </c>
      <c r="B110" s="8">
        <f t="shared" ca="1" si="12"/>
        <v>-2.5787871875351167E-2</v>
      </c>
      <c r="C110" s="8">
        <f ca="1">lambda*(a-B109)*dt</f>
        <v>3.6470335747962605E-4</v>
      </c>
      <c r="D110" s="8">
        <f ca="1">sigma*SQRT(dt)*_xlfn.NORM.S.INV(RAND())</f>
        <v>-2.2505541658034534E-2</v>
      </c>
      <c r="E110" s="8">
        <f t="shared" ca="1" si="13"/>
        <v>-2.2140838300554907E-2</v>
      </c>
      <c r="G110" s="8">
        <f t="shared" ca="1" si="14"/>
        <v>5.232037300889095</v>
      </c>
      <c r="H110" s="8">
        <f>mu*dt</f>
        <v>2.5000000000000005E-3</v>
      </c>
      <c r="I110" s="8">
        <f t="shared" ca="1" si="15"/>
        <v>-2.2505541658034534E-2</v>
      </c>
      <c r="J110" s="8">
        <f t="shared" ca="1" si="16"/>
        <v>-2.0005541658034531E-2</v>
      </c>
      <c r="L110" s="8">
        <f t="shared" ca="1" si="17"/>
        <v>6.2686809664558858</v>
      </c>
      <c r="M110" s="8">
        <f ca="1">mu*L109*dt</f>
        <v>1.5991623506376128E-2</v>
      </c>
      <c r="N110" s="8">
        <f t="shared" ca="1" si="18"/>
        <v>-0.14396005960094088</v>
      </c>
      <c r="O110" s="8">
        <f t="shared" ca="1" si="19"/>
        <v>-0.12796843609456476</v>
      </c>
      <c r="Q110" s="7">
        <f t="shared" si="20"/>
        <v>4.9499999999999904</v>
      </c>
      <c r="R110" s="8">
        <f t="shared" ca="1" si="21"/>
        <v>-2.5787871875351167E-2</v>
      </c>
      <c r="S110" s="8">
        <f t="shared" ca="1" si="22"/>
        <v>5.232037300889095</v>
      </c>
      <c r="T110" s="8">
        <f t="shared" ca="1" si="23"/>
        <v>6.2686809664558858</v>
      </c>
    </row>
    <row r="111" spans="1:20" x14ac:dyDescent="0.25">
      <c r="A111" s="7">
        <f>A110+dt</f>
        <v>4.9999999999999902</v>
      </c>
      <c r="B111" s="8">
        <f t="shared" ca="1" si="12"/>
        <v>-4.777824666323556E-2</v>
      </c>
      <c r="C111" s="8">
        <f ca="1">lambda*(a-B110)*dt</f>
        <v>2.5787871875351167E-3</v>
      </c>
      <c r="D111" s="8">
        <f ca="1">sigma*SQRT(dt)*_xlfn.NORM.S.INV(RAND())</f>
        <v>-2.4569161975419515E-2</v>
      </c>
      <c r="E111" s="8">
        <f t="shared" ca="1" si="13"/>
        <v>-2.1990374787884397E-2</v>
      </c>
      <c r="G111" s="8">
        <f t="shared" ca="1" si="14"/>
        <v>5.2099681389136752</v>
      </c>
      <c r="H111" s="8">
        <f>mu*dt</f>
        <v>2.5000000000000005E-3</v>
      </c>
      <c r="I111" s="8">
        <f t="shared" ca="1" si="15"/>
        <v>-2.4569161975419515E-2</v>
      </c>
      <c r="J111" s="8">
        <f t="shared" ca="1" si="16"/>
        <v>-2.2069161975419513E-2</v>
      </c>
      <c r="L111" s="8">
        <f t="shared" ca="1" si="17"/>
        <v>6.1303364308349417</v>
      </c>
      <c r="M111" s="8">
        <f ca="1">mu*L110*dt</f>
        <v>1.5671702416139716E-2</v>
      </c>
      <c r="N111" s="8">
        <f t="shared" ca="1" si="18"/>
        <v>-0.154016238037084</v>
      </c>
      <c r="O111" s="8">
        <f t="shared" ca="1" si="19"/>
        <v>-0.13834453562094429</v>
      </c>
      <c r="Q111" s="7">
        <f t="shared" si="20"/>
        <v>4.9999999999999902</v>
      </c>
      <c r="R111" s="8">
        <f t="shared" ca="1" si="21"/>
        <v>-4.777824666323556E-2</v>
      </c>
      <c r="S111" s="8">
        <f t="shared" ca="1" si="22"/>
        <v>5.2099681389136752</v>
      </c>
      <c r="T111" s="8">
        <f t="shared" ca="1" si="23"/>
        <v>6.1303364308349417</v>
      </c>
    </row>
    <row r="112" spans="1:20" x14ac:dyDescent="0.25">
      <c r="A112" s="7">
        <f>A111+dt</f>
        <v>5.0499999999999901</v>
      </c>
      <c r="B112" s="8">
        <f t="shared" ca="1" si="12"/>
        <v>-5.1898303160184817E-2</v>
      </c>
      <c r="C112" s="8">
        <f ca="1">lambda*(a-B111)*dt</f>
        <v>4.7778246663235562E-3</v>
      </c>
      <c r="D112" s="8">
        <f ca="1">sigma*SQRT(dt)*_xlfn.NORM.S.INV(RAND())</f>
        <v>-8.8978811632728135E-3</v>
      </c>
      <c r="E112" s="8">
        <f t="shared" ca="1" si="13"/>
        <v>-4.1200564969492573E-3</v>
      </c>
      <c r="G112" s="8">
        <f t="shared" ca="1" si="14"/>
        <v>5.2035702577504024</v>
      </c>
      <c r="H112" s="8">
        <f>mu*dt</f>
        <v>2.5000000000000005E-3</v>
      </c>
      <c r="I112" s="8">
        <f t="shared" ca="1" si="15"/>
        <v>-8.8978811632728135E-3</v>
      </c>
      <c r="J112" s="8">
        <f t="shared" ca="1" si="16"/>
        <v>-6.397881163272813E-3</v>
      </c>
      <c r="L112" s="8">
        <f t="shared" ca="1" si="17"/>
        <v>6.0911152668595774</v>
      </c>
      <c r="M112" s="8">
        <f ca="1">mu*L111*dt</f>
        <v>1.5325841077087355E-2</v>
      </c>
      <c r="N112" s="8">
        <f t="shared" ca="1" si="18"/>
        <v>-5.4547005052451317E-2</v>
      </c>
      <c r="O112" s="8">
        <f t="shared" ca="1" si="19"/>
        <v>-3.922116397536396E-2</v>
      </c>
      <c r="Q112" s="7">
        <f t="shared" si="20"/>
        <v>5.0499999999999901</v>
      </c>
      <c r="R112" s="8">
        <f t="shared" ca="1" si="21"/>
        <v>-5.1898303160184817E-2</v>
      </c>
      <c r="S112" s="8">
        <f t="shared" ca="1" si="22"/>
        <v>5.2035702577504024</v>
      </c>
      <c r="T112" s="8">
        <f t="shared" ca="1" si="23"/>
        <v>6.0911152668595774</v>
      </c>
    </row>
    <row r="113" spans="1:20" x14ac:dyDescent="0.25">
      <c r="A113" s="7">
        <f>A112+dt</f>
        <v>5.0999999999999899</v>
      </c>
      <c r="B113" s="8">
        <f t="shared" ca="1" si="12"/>
        <v>-5.0650785545581285E-2</v>
      </c>
      <c r="C113" s="8">
        <f ca="1">lambda*(a-B112)*dt</f>
        <v>5.1898303160184817E-3</v>
      </c>
      <c r="D113" s="8">
        <f ca="1">sigma*SQRT(dt)*_xlfn.NORM.S.INV(RAND())</f>
        <v>-3.9423127014149477E-3</v>
      </c>
      <c r="E113" s="8">
        <f t="shared" ca="1" si="13"/>
        <v>1.2475176146035339E-3</v>
      </c>
      <c r="G113" s="8">
        <f t="shared" ca="1" si="14"/>
        <v>5.2021279450489875</v>
      </c>
      <c r="H113" s="8">
        <f>mu*dt</f>
        <v>2.5000000000000005E-3</v>
      </c>
      <c r="I113" s="8">
        <f t="shared" ca="1" si="15"/>
        <v>-3.9423127014149477E-3</v>
      </c>
      <c r="J113" s="8">
        <f t="shared" ca="1" si="16"/>
        <v>-1.4423127014149472E-3</v>
      </c>
      <c r="L113" s="8">
        <f t="shared" ca="1" si="17"/>
        <v>6.082329973944403</v>
      </c>
      <c r="M113" s="8">
        <f ca="1">mu*L112*dt</f>
        <v>1.5227788167148947E-2</v>
      </c>
      <c r="N113" s="8">
        <f t="shared" ca="1" si="18"/>
        <v>-2.4013081082323012E-2</v>
      </c>
      <c r="O113" s="8">
        <f t="shared" ca="1" si="19"/>
        <v>-8.7852929151740651E-3</v>
      </c>
      <c r="Q113" s="7">
        <f t="shared" si="20"/>
        <v>5.0999999999999899</v>
      </c>
      <c r="R113" s="8">
        <f t="shared" ca="1" si="21"/>
        <v>-5.0650785545581285E-2</v>
      </c>
      <c r="S113" s="8">
        <f t="shared" ca="1" si="22"/>
        <v>5.2021279450489875</v>
      </c>
      <c r="T113" s="8">
        <f t="shared" ca="1" si="23"/>
        <v>6.082329973944403</v>
      </c>
    </row>
    <row r="114" spans="1:20" x14ac:dyDescent="0.25">
      <c r="A114" s="7">
        <f>A113+dt</f>
        <v>5.1499999999999897</v>
      </c>
      <c r="B114" s="8">
        <f t="shared" ca="1" si="12"/>
        <v>-4.2388440550146282E-2</v>
      </c>
      <c r="C114" s="8">
        <f ca="1">lambda*(a-B113)*dt</f>
        <v>5.0650785545581292E-3</v>
      </c>
      <c r="D114" s="8">
        <f ca="1">sigma*SQRT(dt)*_xlfn.NORM.S.INV(RAND())</f>
        <v>3.197266440876873E-3</v>
      </c>
      <c r="E114" s="8">
        <f t="shared" ca="1" si="13"/>
        <v>8.2623449954350031E-3</v>
      </c>
      <c r="G114" s="8">
        <f t="shared" ca="1" si="14"/>
        <v>5.2078252114898644</v>
      </c>
      <c r="H114" s="8">
        <f>mu*dt</f>
        <v>2.5000000000000005E-3</v>
      </c>
      <c r="I114" s="8">
        <f t="shared" ca="1" si="15"/>
        <v>3.197266440876873E-3</v>
      </c>
      <c r="J114" s="8">
        <f t="shared" ca="1" si="16"/>
        <v>5.6972664408768735E-3</v>
      </c>
      <c r="L114" s="8">
        <f t="shared" ca="1" si="17"/>
        <v>6.1169826283872961</v>
      </c>
      <c r="M114" s="8">
        <f ca="1">mu*L113*dt</f>
        <v>1.520582493486101E-2</v>
      </c>
      <c r="N114" s="8">
        <f t="shared" ca="1" si="18"/>
        <v>1.9446829508031945E-2</v>
      </c>
      <c r="O114" s="8">
        <f t="shared" ca="1" si="19"/>
        <v>3.4652654442892956E-2</v>
      </c>
      <c r="Q114" s="7">
        <f t="shared" si="20"/>
        <v>5.1499999999999897</v>
      </c>
      <c r="R114" s="8">
        <f t="shared" ca="1" si="21"/>
        <v>-4.2388440550146282E-2</v>
      </c>
      <c r="S114" s="8">
        <f t="shared" ca="1" si="22"/>
        <v>5.2078252114898644</v>
      </c>
      <c r="T114" s="8">
        <f t="shared" ca="1" si="23"/>
        <v>6.1169826283872961</v>
      </c>
    </row>
    <row r="115" spans="1:20" x14ac:dyDescent="0.25">
      <c r="A115" s="7">
        <f>A114+dt</f>
        <v>5.1999999999999895</v>
      </c>
      <c r="B115" s="8">
        <f t="shared" ca="1" si="12"/>
        <v>-3.7997162769897501E-2</v>
      </c>
      <c r="C115" s="8">
        <f ca="1">lambda*(a-B114)*dt</f>
        <v>4.2388440550146286E-3</v>
      </c>
      <c r="D115" s="8">
        <f ca="1">sigma*SQRT(dt)*_xlfn.NORM.S.INV(RAND())</f>
        <v>1.5243372523415487E-4</v>
      </c>
      <c r="E115" s="8">
        <f t="shared" ca="1" si="13"/>
        <v>4.3912777802487838E-3</v>
      </c>
      <c r="G115" s="8">
        <f t="shared" ca="1" si="14"/>
        <v>5.2104776452150983</v>
      </c>
      <c r="H115" s="8">
        <f>mu*dt</f>
        <v>2.5000000000000005E-3</v>
      </c>
      <c r="I115" s="8">
        <f t="shared" ca="1" si="15"/>
        <v>1.5243372523415487E-4</v>
      </c>
      <c r="J115" s="8">
        <f t="shared" ca="1" si="16"/>
        <v>2.6524337252341553E-3</v>
      </c>
      <c r="L115" s="8">
        <f t="shared" ca="1" si="17"/>
        <v>6.1332075194075024</v>
      </c>
      <c r="M115" s="8">
        <f ca="1">mu*L114*dt</f>
        <v>1.5292456570968241E-2</v>
      </c>
      <c r="N115" s="8">
        <f t="shared" ca="1" si="18"/>
        <v>9.3243444923768752E-4</v>
      </c>
      <c r="O115" s="8">
        <f t="shared" ca="1" si="19"/>
        <v>1.6224891020205929E-2</v>
      </c>
      <c r="Q115" s="7">
        <f t="shared" si="20"/>
        <v>5.1999999999999895</v>
      </c>
      <c r="R115" s="8">
        <f t="shared" ca="1" si="21"/>
        <v>-3.7997162769897501E-2</v>
      </c>
      <c r="S115" s="8">
        <f t="shared" ca="1" si="22"/>
        <v>5.2104776452150983</v>
      </c>
      <c r="T115" s="8">
        <f t="shared" ca="1" si="23"/>
        <v>6.1332075194075024</v>
      </c>
    </row>
    <row r="116" spans="1:20" x14ac:dyDescent="0.25">
      <c r="A116" s="7">
        <f>A115+dt</f>
        <v>5.2499999999999893</v>
      </c>
      <c r="B116" s="8">
        <f t="shared" ca="1" si="12"/>
        <v>-2.6675010896519996E-2</v>
      </c>
      <c r="C116" s="8">
        <f ca="1">lambda*(a-B115)*dt</f>
        <v>3.7997162769897504E-3</v>
      </c>
      <c r="D116" s="8">
        <f ca="1">sigma*SQRT(dt)*_xlfn.NORM.S.INV(RAND())</f>
        <v>7.5224355963877543E-3</v>
      </c>
      <c r="E116" s="8">
        <f t="shared" ca="1" si="13"/>
        <v>1.1322151873377505E-2</v>
      </c>
      <c r="G116" s="8">
        <f t="shared" ca="1" si="14"/>
        <v>5.2205000808114859</v>
      </c>
      <c r="H116" s="8">
        <f>mu*dt</f>
        <v>2.5000000000000005E-3</v>
      </c>
      <c r="I116" s="8">
        <f t="shared" ca="1" si="15"/>
        <v>7.5224355963877543E-3</v>
      </c>
      <c r="J116" s="8">
        <f t="shared" ca="1" si="16"/>
        <v>1.0022435596387755E-2</v>
      </c>
      <c r="L116" s="8">
        <f t="shared" ca="1" si="17"/>
        <v>6.1946771967700451</v>
      </c>
      <c r="M116" s="8">
        <f ca="1">mu*L115*dt</f>
        <v>1.5333018798518758E-2</v>
      </c>
      <c r="N116" s="8">
        <f t="shared" ca="1" si="18"/>
        <v>4.6136658564024033E-2</v>
      </c>
      <c r="O116" s="8">
        <f t="shared" ca="1" si="19"/>
        <v>6.1469677362542788E-2</v>
      </c>
      <c r="Q116" s="7">
        <f t="shared" si="20"/>
        <v>5.2499999999999893</v>
      </c>
      <c r="R116" s="8">
        <f t="shared" ca="1" si="21"/>
        <v>-2.6675010896519996E-2</v>
      </c>
      <c r="S116" s="8">
        <f t="shared" ca="1" si="22"/>
        <v>5.2205000808114859</v>
      </c>
      <c r="T116" s="8">
        <f t="shared" ca="1" si="23"/>
        <v>6.1946771967700451</v>
      </c>
    </row>
    <row r="117" spans="1:20" x14ac:dyDescent="0.25">
      <c r="A117" s="7">
        <f>A116+dt</f>
        <v>5.2999999999999892</v>
      </c>
      <c r="B117" s="8">
        <f t="shared" ca="1" si="12"/>
        <v>-1.0584879156139589E-2</v>
      </c>
      <c r="C117" s="8">
        <f ca="1">lambda*(a-B116)*dt</f>
        <v>2.6675010896519999E-3</v>
      </c>
      <c r="D117" s="8">
        <f ca="1">sigma*SQRT(dt)*_xlfn.NORM.S.INV(RAND())</f>
        <v>1.3422630650728408E-2</v>
      </c>
      <c r="E117" s="8">
        <f t="shared" ca="1" si="13"/>
        <v>1.6090131740380407E-2</v>
      </c>
      <c r="G117" s="8">
        <f t="shared" ca="1" si="14"/>
        <v>5.2364227114622146</v>
      </c>
      <c r="H117" s="8">
        <f>mu*dt</f>
        <v>2.5000000000000005E-3</v>
      </c>
      <c r="I117" s="8">
        <f t="shared" ca="1" si="15"/>
        <v>1.3422630650728408E-2</v>
      </c>
      <c r="J117" s="8">
        <f t="shared" ca="1" si="16"/>
        <v>1.5922630650728409E-2</v>
      </c>
      <c r="L117" s="8">
        <f t="shared" ca="1" si="17"/>
        <v>6.2933127537747042</v>
      </c>
      <c r="M117" s="8">
        <f ca="1">mu*L116*dt</f>
        <v>1.5486692991925115E-2</v>
      </c>
      <c r="N117" s="8">
        <f t="shared" ca="1" si="18"/>
        <v>8.3148864012733942E-2</v>
      </c>
      <c r="O117" s="8">
        <f t="shared" ca="1" si="19"/>
        <v>9.8635557004659064E-2</v>
      </c>
      <c r="Q117" s="7">
        <f t="shared" si="20"/>
        <v>5.2999999999999892</v>
      </c>
      <c r="R117" s="8">
        <f t="shared" ca="1" si="21"/>
        <v>-1.0584879156139589E-2</v>
      </c>
      <c r="S117" s="8">
        <f t="shared" ca="1" si="22"/>
        <v>5.2364227114622146</v>
      </c>
      <c r="T117" s="8">
        <f t="shared" ca="1" si="23"/>
        <v>6.2933127537747042</v>
      </c>
    </row>
    <row r="118" spans="1:20" x14ac:dyDescent="0.25">
      <c r="A118" s="7">
        <f>A117+dt</f>
        <v>5.349999999999989</v>
      </c>
      <c r="B118" s="8">
        <f t="shared" ca="1" si="12"/>
        <v>-1.0445075117087931E-2</v>
      </c>
      <c r="C118" s="8">
        <f ca="1">lambda*(a-B117)*dt</f>
        <v>1.0584879156139589E-3</v>
      </c>
      <c r="D118" s="8">
        <f ca="1">sigma*SQRT(dt)*_xlfn.NORM.S.INV(RAND())</f>
        <v>-9.1868387656230158E-4</v>
      </c>
      <c r="E118" s="8">
        <f t="shared" ca="1" si="13"/>
        <v>1.398040390516573E-4</v>
      </c>
      <c r="G118" s="8">
        <f t="shared" ca="1" si="14"/>
        <v>5.2380040275856521</v>
      </c>
      <c r="H118" s="8">
        <f>mu*dt</f>
        <v>2.5000000000000005E-3</v>
      </c>
      <c r="I118" s="8">
        <f t="shared" ca="1" si="15"/>
        <v>-9.1868387656230158E-4</v>
      </c>
      <c r="J118" s="8">
        <f t="shared" ca="1" si="16"/>
        <v>1.581316123437699E-3</v>
      </c>
      <c r="L118" s="8">
        <f t="shared" ca="1" si="17"/>
        <v>6.303264470702084</v>
      </c>
      <c r="M118" s="8">
        <f ca="1">mu*L117*dt</f>
        <v>1.5733281884436762E-2</v>
      </c>
      <c r="N118" s="8">
        <f t="shared" ca="1" si="18"/>
        <v>-5.7815649570567189E-3</v>
      </c>
      <c r="O118" s="8">
        <f t="shared" ca="1" si="19"/>
        <v>9.9517169273800436E-3</v>
      </c>
      <c r="Q118" s="7">
        <f t="shared" si="20"/>
        <v>5.349999999999989</v>
      </c>
      <c r="R118" s="8">
        <f t="shared" ca="1" si="21"/>
        <v>-1.0445075117087931E-2</v>
      </c>
      <c r="S118" s="8">
        <f t="shared" ca="1" si="22"/>
        <v>5.2380040275856521</v>
      </c>
      <c r="T118" s="8">
        <f t="shared" ca="1" si="23"/>
        <v>6.303264470702084</v>
      </c>
    </row>
    <row r="119" spans="1:20" x14ac:dyDescent="0.25">
      <c r="A119" s="7">
        <f>A118+dt</f>
        <v>5.3999999999999888</v>
      </c>
      <c r="B119" s="8">
        <f t="shared" ca="1" si="12"/>
        <v>3.213921320389633E-3</v>
      </c>
      <c r="C119" s="8">
        <f ca="1">lambda*(a-B118)*dt</f>
        <v>1.0445075117087933E-3</v>
      </c>
      <c r="D119" s="8">
        <f ca="1">sigma*SQRT(dt)*_xlfn.NORM.S.INV(RAND())</f>
        <v>1.2614488925768771E-2</v>
      </c>
      <c r="E119" s="8">
        <f t="shared" ca="1" si="13"/>
        <v>1.3658996437477564E-2</v>
      </c>
      <c r="G119" s="8">
        <f t="shared" ca="1" si="14"/>
        <v>5.2531185165114209</v>
      </c>
      <c r="H119" s="8">
        <f>mu*dt</f>
        <v>2.5000000000000005E-3</v>
      </c>
      <c r="I119" s="8">
        <f t="shared" ca="1" si="15"/>
        <v>1.2614488925768771E-2</v>
      </c>
      <c r="J119" s="8">
        <f t="shared" ca="1" si="16"/>
        <v>1.5114488925768771E-2</v>
      </c>
      <c r="L119" s="8">
        <f t="shared" ca="1" si="17"/>
        <v>6.398535091740702</v>
      </c>
      <c r="M119" s="8">
        <f ca="1">mu*L118*dt</f>
        <v>1.5758161176755211E-2</v>
      </c>
      <c r="N119" s="8">
        <f t="shared" ca="1" si="18"/>
        <v>7.9512459861863186E-2</v>
      </c>
      <c r="O119" s="8">
        <f t="shared" ca="1" si="19"/>
        <v>9.52706210386184E-2</v>
      </c>
      <c r="Q119" s="7">
        <f t="shared" si="20"/>
        <v>5.3999999999999888</v>
      </c>
      <c r="R119" s="8">
        <f t="shared" ca="1" si="21"/>
        <v>3.213921320389633E-3</v>
      </c>
      <c r="S119" s="8">
        <f t="shared" ca="1" si="22"/>
        <v>5.2531185165114209</v>
      </c>
      <c r="T119" s="8">
        <f t="shared" ca="1" si="23"/>
        <v>6.398535091740702</v>
      </c>
    </row>
    <row r="120" spans="1:20" x14ac:dyDescent="0.25">
      <c r="A120" s="7">
        <f>A119+dt</f>
        <v>5.4499999999999886</v>
      </c>
      <c r="B120" s="8">
        <f t="shared" ca="1" si="12"/>
        <v>3.8844922425653886E-3</v>
      </c>
      <c r="C120" s="8">
        <f ca="1">lambda*(a-B119)*dt</f>
        <v>-3.213921320389633E-4</v>
      </c>
      <c r="D120" s="8">
        <f ca="1">sigma*SQRT(dt)*_xlfn.NORM.S.INV(RAND())</f>
        <v>9.9196305421471887E-4</v>
      </c>
      <c r="E120" s="8">
        <f t="shared" ca="1" si="13"/>
        <v>6.7057092217575557E-4</v>
      </c>
      <c r="G120" s="8">
        <f t="shared" ca="1" si="14"/>
        <v>5.2566104795656354</v>
      </c>
      <c r="H120" s="8">
        <f>mu*dt</f>
        <v>2.5000000000000005E-3</v>
      </c>
      <c r="I120" s="8">
        <f t="shared" ca="1" si="15"/>
        <v>9.9196305421471887E-4</v>
      </c>
      <c r="J120" s="8">
        <f t="shared" ca="1" si="16"/>
        <v>3.4919630542147194E-3</v>
      </c>
      <c r="L120" s="8">
        <f t="shared" ca="1" si="17"/>
        <v>6.4208785398821568</v>
      </c>
      <c r="M120" s="8">
        <f ca="1">mu*L119*dt</f>
        <v>1.5996337729351755E-2</v>
      </c>
      <c r="N120" s="8">
        <f t="shared" ca="1" si="18"/>
        <v>6.3471104121031628E-3</v>
      </c>
      <c r="O120" s="8">
        <f t="shared" ca="1" si="19"/>
        <v>2.2343448141454919E-2</v>
      </c>
      <c r="Q120" s="7">
        <f t="shared" si="20"/>
        <v>5.4499999999999886</v>
      </c>
      <c r="R120" s="8">
        <f t="shared" ca="1" si="21"/>
        <v>3.8844922425653886E-3</v>
      </c>
      <c r="S120" s="8">
        <f t="shared" ca="1" si="22"/>
        <v>5.2566104795656354</v>
      </c>
      <c r="T120" s="8">
        <f t="shared" ca="1" si="23"/>
        <v>6.4208785398821568</v>
      </c>
    </row>
    <row r="121" spans="1:20" x14ac:dyDescent="0.25">
      <c r="A121" s="7">
        <f>A120+dt</f>
        <v>5.4999999999999885</v>
      </c>
      <c r="B121" s="8">
        <f t="shared" ca="1" si="12"/>
        <v>3.0533830226824564E-4</v>
      </c>
      <c r="C121" s="8">
        <f ca="1">lambda*(a-B120)*dt</f>
        <v>-3.8844922425653887E-4</v>
      </c>
      <c r="D121" s="8">
        <f ca="1">sigma*SQRT(dt)*_xlfn.NORM.S.INV(RAND())</f>
        <v>-3.1907047160406039E-3</v>
      </c>
      <c r="E121" s="8">
        <f t="shared" ca="1" si="13"/>
        <v>-3.5791539402971429E-3</v>
      </c>
      <c r="G121" s="8">
        <f t="shared" ca="1" si="14"/>
        <v>5.2559197748495947</v>
      </c>
      <c r="H121" s="8">
        <f>mu*dt</f>
        <v>2.5000000000000005E-3</v>
      </c>
      <c r="I121" s="8">
        <f t="shared" ca="1" si="15"/>
        <v>-3.1907047160406039E-3</v>
      </c>
      <c r="J121" s="8">
        <f t="shared" ca="1" si="16"/>
        <v>-6.9070471604060343E-4</v>
      </c>
      <c r="L121" s="8">
        <f t="shared" ca="1" si="17"/>
        <v>6.4164436087935366</v>
      </c>
      <c r="M121" s="8">
        <f ca="1">mu*L120*dt</f>
        <v>1.6052196349705394E-2</v>
      </c>
      <c r="N121" s="8">
        <f t="shared" ca="1" si="18"/>
        <v>-2.0487127438325904E-2</v>
      </c>
      <c r="O121" s="8">
        <f t="shared" ca="1" si="19"/>
        <v>-4.4349310886205098E-3</v>
      </c>
      <c r="Q121" s="7">
        <f t="shared" si="20"/>
        <v>5.4999999999999885</v>
      </c>
      <c r="R121" s="8">
        <f t="shared" ca="1" si="21"/>
        <v>3.0533830226824564E-4</v>
      </c>
      <c r="S121" s="8">
        <f t="shared" ca="1" si="22"/>
        <v>5.2559197748495947</v>
      </c>
      <c r="T121" s="8">
        <f t="shared" ca="1" si="23"/>
        <v>6.4164436087935366</v>
      </c>
    </row>
    <row r="122" spans="1:20" x14ac:dyDescent="0.25">
      <c r="A122" s="7">
        <f>A121+dt</f>
        <v>5.5499999999999883</v>
      </c>
      <c r="B122" s="8">
        <f t="shared" ca="1" si="12"/>
        <v>-4.9759596706113731E-3</v>
      </c>
      <c r="C122" s="8">
        <f ca="1">lambda*(a-B121)*dt</f>
        <v>-3.0533830226824565E-5</v>
      </c>
      <c r="D122" s="8">
        <f ca="1">sigma*SQRT(dt)*_xlfn.NORM.S.INV(RAND())</f>
        <v>-5.2507641426527939E-3</v>
      </c>
      <c r="E122" s="8">
        <f t="shared" ca="1" si="13"/>
        <v>-5.2812979728796188E-3</v>
      </c>
      <c r="G122" s="8">
        <f t="shared" ca="1" si="14"/>
        <v>5.2531690107069418</v>
      </c>
      <c r="H122" s="8">
        <f>mu*dt</f>
        <v>2.5000000000000005E-3</v>
      </c>
      <c r="I122" s="8">
        <f t="shared" ca="1" si="15"/>
        <v>-5.2507641426527939E-3</v>
      </c>
      <c r="J122" s="8">
        <f t="shared" ca="1" si="16"/>
        <v>-2.7507641426527934E-3</v>
      </c>
      <c r="L122" s="8">
        <f t="shared" ca="1" si="17"/>
        <v>6.3987934857911135</v>
      </c>
      <c r="M122" s="8">
        <f ca="1">mu*L121*dt</f>
        <v>1.6041109021983843E-2</v>
      </c>
      <c r="N122" s="8">
        <f t="shared" ca="1" si="18"/>
        <v>-3.3691232024406791E-2</v>
      </c>
      <c r="O122" s="8">
        <f t="shared" ca="1" si="19"/>
        <v>-1.7650123002422947E-2</v>
      </c>
      <c r="Q122" s="7">
        <f t="shared" si="20"/>
        <v>5.5499999999999883</v>
      </c>
      <c r="R122" s="8">
        <f t="shared" ca="1" si="21"/>
        <v>-4.9759596706113731E-3</v>
      </c>
      <c r="S122" s="8">
        <f t="shared" ca="1" si="22"/>
        <v>5.2531690107069418</v>
      </c>
      <c r="T122" s="8">
        <f t="shared" ca="1" si="23"/>
        <v>6.3987934857911135</v>
      </c>
    </row>
    <row r="123" spans="1:20" x14ac:dyDescent="0.25">
      <c r="A123" s="7">
        <f>A122+dt</f>
        <v>5.5999999999999881</v>
      </c>
      <c r="B123" s="8">
        <f t="shared" ca="1" si="12"/>
        <v>2.3164639422951862E-2</v>
      </c>
      <c r="C123" s="8">
        <f ca="1">lambda*(a-B122)*dt</f>
        <v>4.9759596706113731E-4</v>
      </c>
      <c r="D123" s="8">
        <f ca="1">sigma*SQRT(dt)*_xlfn.NORM.S.INV(RAND())</f>
        <v>2.76430031265021E-2</v>
      </c>
      <c r="E123" s="8">
        <f t="shared" ca="1" si="13"/>
        <v>2.8140599093563236E-2</v>
      </c>
      <c r="G123" s="8">
        <f t="shared" ca="1" si="14"/>
        <v>5.2833120138334442</v>
      </c>
      <c r="H123" s="8">
        <f>mu*dt</f>
        <v>2.5000000000000005E-3</v>
      </c>
      <c r="I123" s="8">
        <f t="shared" ca="1" si="15"/>
        <v>2.76430031265021E-2</v>
      </c>
      <c r="J123" s="8">
        <f t="shared" ca="1" si="16"/>
        <v>3.0143003126502102E-2</v>
      </c>
      <c r="L123" s="8">
        <f t="shared" ca="1" si="17"/>
        <v>6.5916723378391566</v>
      </c>
      <c r="M123" s="8">
        <f ca="1">mu*L122*dt</f>
        <v>1.5996983714477785E-2</v>
      </c>
      <c r="N123" s="8">
        <f t="shared" ca="1" si="18"/>
        <v>0.17688186833356501</v>
      </c>
      <c r="O123" s="8">
        <f t="shared" ca="1" si="19"/>
        <v>0.19287885204804278</v>
      </c>
      <c r="Q123" s="7">
        <f t="shared" si="20"/>
        <v>5.5999999999999881</v>
      </c>
      <c r="R123" s="8">
        <f t="shared" ca="1" si="21"/>
        <v>2.3164639422951862E-2</v>
      </c>
      <c r="S123" s="8">
        <f t="shared" ca="1" si="22"/>
        <v>5.2833120138334442</v>
      </c>
      <c r="T123" s="8">
        <f t="shared" ca="1" si="23"/>
        <v>6.5916723378391566</v>
      </c>
    </row>
    <row r="124" spans="1:20" x14ac:dyDescent="0.25">
      <c r="A124" s="7">
        <f>A123+dt</f>
        <v>5.6499999999999879</v>
      </c>
      <c r="B124" s="8">
        <f t="shared" ca="1" si="12"/>
        <v>2.5913942005047784E-2</v>
      </c>
      <c r="C124" s="8">
        <f ca="1">lambda*(a-B123)*dt</f>
        <v>-2.3164639422951863E-3</v>
      </c>
      <c r="D124" s="8">
        <f ca="1">sigma*SQRT(dt)*_xlfn.NORM.S.INV(RAND())</f>
        <v>5.065766524391108E-3</v>
      </c>
      <c r="E124" s="8">
        <f t="shared" ca="1" si="13"/>
        <v>2.7493025820959217E-3</v>
      </c>
      <c r="G124" s="8">
        <f t="shared" ca="1" si="14"/>
        <v>5.2908777803578353</v>
      </c>
      <c r="H124" s="8">
        <f>mu*dt</f>
        <v>2.5000000000000005E-3</v>
      </c>
      <c r="I124" s="8">
        <f t="shared" ca="1" si="15"/>
        <v>5.065766524391108E-3</v>
      </c>
      <c r="J124" s="8">
        <f t="shared" ca="1" si="16"/>
        <v>7.5657665243911085E-3</v>
      </c>
      <c r="L124" s="8">
        <f t="shared" ca="1" si="17"/>
        <v>6.6415433917525348</v>
      </c>
      <c r="M124" s="8">
        <f ca="1">mu*L123*dt</f>
        <v>1.6479180844597895E-2</v>
      </c>
      <c r="N124" s="8">
        <f t="shared" ca="1" si="18"/>
        <v>3.3391873068780477E-2</v>
      </c>
      <c r="O124" s="8">
        <f t="shared" ca="1" si="19"/>
        <v>4.9871053913378371E-2</v>
      </c>
      <c r="Q124" s="7">
        <f t="shared" si="20"/>
        <v>5.6499999999999879</v>
      </c>
      <c r="R124" s="8">
        <f t="shared" ca="1" si="21"/>
        <v>2.5913942005047784E-2</v>
      </c>
      <c r="S124" s="8">
        <f t="shared" ca="1" si="22"/>
        <v>5.2908777803578353</v>
      </c>
      <c r="T124" s="8">
        <f t="shared" ca="1" si="23"/>
        <v>6.6415433917525348</v>
      </c>
    </row>
    <row r="125" spans="1:20" x14ac:dyDescent="0.25">
      <c r="A125" s="7">
        <f>A124+dt</f>
        <v>5.6999999999999877</v>
      </c>
      <c r="B125" s="8">
        <f t="shared" ca="1" si="12"/>
        <v>3.8743584092951505E-2</v>
      </c>
      <c r="C125" s="8">
        <f ca="1">lambda*(a-B124)*dt</f>
        <v>-2.5913942005047785E-3</v>
      </c>
      <c r="D125" s="8">
        <f ca="1">sigma*SQRT(dt)*_xlfn.NORM.S.INV(RAND())</f>
        <v>1.5421036288408499E-2</v>
      </c>
      <c r="E125" s="8">
        <f t="shared" ca="1" si="13"/>
        <v>1.2829642087903721E-2</v>
      </c>
      <c r="G125" s="8">
        <f t="shared" ca="1" si="14"/>
        <v>5.3087988166462434</v>
      </c>
      <c r="H125" s="8">
        <f>mu*dt</f>
        <v>2.5000000000000005E-3</v>
      </c>
      <c r="I125" s="8">
        <f t="shared" ca="1" si="15"/>
        <v>1.5421036288408499E-2</v>
      </c>
      <c r="J125" s="8">
        <f t="shared" ca="1" si="16"/>
        <v>1.79210362884085E-2</v>
      </c>
      <c r="L125" s="8">
        <f t="shared" ca="1" si="17"/>
        <v>6.7605667318871721</v>
      </c>
      <c r="M125" s="8">
        <f ca="1">mu*L124*dt</f>
        <v>1.6603858479381339E-2</v>
      </c>
      <c r="N125" s="8">
        <f t="shared" ca="1" si="18"/>
        <v>0.10241948165525551</v>
      </c>
      <c r="O125" s="8">
        <f t="shared" ca="1" si="19"/>
        <v>0.11902334013463685</v>
      </c>
      <c r="Q125" s="7">
        <f t="shared" si="20"/>
        <v>5.6999999999999877</v>
      </c>
      <c r="R125" s="8">
        <f t="shared" ca="1" si="21"/>
        <v>3.8743584092951505E-2</v>
      </c>
      <c r="S125" s="8">
        <f t="shared" ca="1" si="22"/>
        <v>5.3087988166462434</v>
      </c>
      <c r="T125" s="8">
        <f t="shared" ca="1" si="23"/>
        <v>6.7605667318871721</v>
      </c>
    </row>
    <row r="126" spans="1:20" x14ac:dyDescent="0.25">
      <c r="A126" s="7">
        <f>A125+dt</f>
        <v>5.7499999999999876</v>
      </c>
      <c r="B126" s="8">
        <f t="shared" ca="1" si="12"/>
        <v>3.255159505064114E-2</v>
      </c>
      <c r="C126" s="8">
        <f ca="1">lambda*(a-B125)*dt</f>
        <v>-3.8743584092951508E-3</v>
      </c>
      <c r="D126" s="8">
        <f ca="1">sigma*SQRT(dt)*_xlfn.NORM.S.INV(RAND())</f>
        <v>-2.3176306330152142E-3</v>
      </c>
      <c r="E126" s="8">
        <f t="shared" ca="1" si="13"/>
        <v>-6.1919890423103655E-3</v>
      </c>
      <c r="G126" s="8">
        <f t="shared" ca="1" si="14"/>
        <v>5.3089811860132281</v>
      </c>
      <c r="H126" s="8">
        <f>mu*dt</f>
        <v>2.5000000000000005E-3</v>
      </c>
      <c r="I126" s="8">
        <f t="shared" ca="1" si="15"/>
        <v>-2.3176306330152142E-3</v>
      </c>
      <c r="J126" s="8">
        <f t="shared" ca="1" si="16"/>
        <v>1.8236936698478624E-4</v>
      </c>
      <c r="L126" s="8">
        <f t="shared" ca="1" si="17"/>
        <v>6.7617996521625248</v>
      </c>
      <c r="M126" s="8">
        <f ca="1">mu*L125*dt</f>
        <v>1.6901416829717932E-2</v>
      </c>
      <c r="N126" s="8">
        <f t="shared" ca="1" si="18"/>
        <v>-1.5668496554365266E-2</v>
      </c>
      <c r="O126" s="8">
        <f t="shared" ca="1" si="19"/>
        <v>1.2329202753526662E-3</v>
      </c>
      <c r="Q126" s="7">
        <f t="shared" si="20"/>
        <v>5.7499999999999876</v>
      </c>
      <c r="R126" s="8">
        <f t="shared" ca="1" si="21"/>
        <v>3.255159505064114E-2</v>
      </c>
      <c r="S126" s="8">
        <f t="shared" ca="1" si="22"/>
        <v>5.3089811860132281</v>
      </c>
      <c r="T126" s="8">
        <f t="shared" ca="1" si="23"/>
        <v>6.7617996521625248</v>
      </c>
    </row>
    <row r="127" spans="1:20" x14ac:dyDescent="0.25">
      <c r="A127" s="7">
        <f>A126+dt</f>
        <v>5.7999999999999874</v>
      </c>
      <c r="B127" s="8">
        <f t="shared" ca="1" si="12"/>
        <v>3.9046682822489027E-2</v>
      </c>
      <c r="C127" s="8">
        <f ca="1">lambda*(a-B126)*dt</f>
        <v>-3.2551595050641143E-3</v>
      </c>
      <c r="D127" s="8">
        <f ca="1">sigma*SQRT(dt)*_xlfn.NORM.S.INV(RAND())</f>
        <v>9.7502472769120038E-3</v>
      </c>
      <c r="E127" s="8">
        <f t="shared" ca="1" si="13"/>
        <v>6.4950877718478895E-3</v>
      </c>
      <c r="G127" s="8">
        <f t="shared" ca="1" si="14"/>
        <v>5.3212314332901398</v>
      </c>
      <c r="H127" s="8">
        <f>mu*dt</f>
        <v>2.5000000000000005E-3</v>
      </c>
      <c r="I127" s="8">
        <f t="shared" ca="1" si="15"/>
        <v>9.7502472769120038E-3</v>
      </c>
      <c r="J127" s="8">
        <f t="shared" ca="1" si="16"/>
        <v>1.2250247276912004E-2</v>
      </c>
      <c r="L127" s="8">
        <f t="shared" ca="1" si="17"/>
        <v>6.8446333699384532</v>
      </c>
      <c r="M127" s="8">
        <f ca="1">mu*L126*dt</f>
        <v>1.6904499130406314E-2</v>
      </c>
      <c r="N127" s="8">
        <f t="shared" ca="1" si="18"/>
        <v>6.5929218645522189E-2</v>
      </c>
      <c r="O127" s="8">
        <f t="shared" ca="1" si="19"/>
        <v>8.2833717775928503E-2</v>
      </c>
      <c r="Q127" s="7">
        <f t="shared" si="20"/>
        <v>5.7999999999999874</v>
      </c>
      <c r="R127" s="8">
        <f t="shared" ca="1" si="21"/>
        <v>3.9046682822489027E-2</v>
      </c>
      <c r="S127" s="8">
        <f t="shared" ca="1" si="22"/>
        <v>5.3212314332901398</v>
      </c>
      <c r="T127" s="8">
        <f t="shared" ca="1" si="23"/>
        <v>6.8446333699384532</v>
      </c>
    </row>
    <row r="128" spans="1:20" x14ac:dyDescent="0.25">
      <c r="A128" s="7">
        <f>A127+dt</f>
        <v>5.8499999999999872</v>
      </c>
      <c r="B128" s="8">
        <f t="shared" ca="1" si="12"/>
        <v>4.4196585223037398E-2</v>
      </c>
      <c r="C128" s="8">
        <f ca="1">lambda*(a-B127)*dt</f>
        <v>-3.9046682822489031E-3</v>
      </c>
      <c r="D128" s="8">
        <f ca="1">sigma*SQRT(dt)*_xlfn.NORM.S.INV(RAND())</f>
        <v>9.0545706827972732E-3</v>
      </c>
      <c r="E128" s="8">
        <f t="shared" ca="1" si="13"/>
        <v>5.1499024005483701E-3</v>
      </c>
      <c r="G128" s="8">
        <f t="shared" ca="1" si="14"/>
        <v>5.3327860039729371</v>
      </c>
      <c r="H128" s="8">
        <f>mu*dt</f>
        <v>2.5000000000000005E-3</v>
      </c>
      <c r="I128" s="8">
        <f t="shared" ca="1" si="15"/>
        <v>9.0545706827972732E-3</v>
      </c>
      <c r="J128" s="8">
        <f t="shared" ca="1" si="16"/>
        <v>1.1554570682797274E-2</v>
      </c>
      <c r="L128" s="8">
        <f t="shared" ca="1" si="17"/>
        <v>6.9237201700092399</v>
      </c>
      <c r="M128" s="8">
        <f ca="1">mu*L127*dt</f>
        <v>1.7111583424846134E-2</v>
      </c>
      <c r="N128" s="8">
        <f t="shared" ca="1" si="18"/>
        <v>6.197521664594062E-2</v>
      </c>
      <c r="O128" s="8">
        <f t="shared" ca="1" si="19"/>
        <v>7.908680007078675E-2</v>
      </c>
      <c r="Q128" s="7">
        <f t="shared" si="20"/>
        <v>5.8499999999999872</v>
      </c>
      <c r="R128" s="8">
        <f t="shared" ca="1" si="21"/>
        <v>4.4196585223037398E-2</v>
      </c>
      <c r="S128" s="8">
        <f t="shared" ca="1" si="22"/>
        <v>5.3327860039729371</v>
      </c>
      <c r="T128" s="8">
        <f t="shared" ca="1" si="23"/>
        <v>6.9237201700092399</v>
      </c>
    </row>
    <row r="129" spans="1:20" x14ac:dyDescent="0.25">
      <c r="A129" s="7">
        <f>A128+dt</f>
        <v>5.899999999999987</v>
      </c>
      <c r="B129" s="8">
        <f t="shared" ca="1" si="12"/>
        <v>1.9465268409073082E-2</v>
      </c>
      <c r="C129" s="8">
        <f ca="1">lambda*(a-B128)*dt</f>
        <v>-4.4196585223037401E-3</v>
      </c>
      <c r="D129" s="8">
        <f ca="1">sigma*SQRT(dt)*_xlfn.NORM.S.INV(RAND())</f>
        <v>-2.0311658291660577E-2</v>
      </c>
      <c r="E129" s="8">
        <f t="shared" ca="1" si="13"/>
        <v>-2.4731316813964316E-2</v>
      </c>
      <c r="G129" s="8">
        <f t="shared" ca="1" si="14"/>
        <v>5.3149743456812768</v>
      </c>
      <c r="H129" s="8">
        <f>mu*dt</f>
        <v>2.5000000000000005E-3</v>
      </c>
      <c r="I129" s="8">
        <f t="shared" ca="1" si="15"/>
        <v>-2.0311658291660577E-2</v>
      </c>
      <c r="J129" s="8">
        <f t="shared" ca="1" si="16"/>
        <v>-1.7811658291660579E-2</v>
      </c>
      <c r="L129" s="8">
        <f t="shared" ca="1" si="17"/>
        <v>6.8003972322339576</v>
      </c>
      <c r="M129" s="8">
        <f ca="1">mu*L128*dt</f>
        <v>1.73093004250231E-2</v>
      </c>
      <c r="N129" s="8">
        <f t="shared" ca="1" si="18"/>
        <v>-0.14063223820030576</v>
      </c>
      <c r="O129" s="8">
        <f t="shared" ca="1" si="19"/>
        <v>-0.12332293777528266</v>
      </c>
      <c r="Q129" s="7">
        <f t="shared" si="20"/>
        <v>5.899999999999987</v>
      </c>
      <c r="R129" s="8">
        <f t="shared" ca="1" si="21"/>
        <v>1.9465268409073082E-2</v>
      </c>
      <c r="S129" s="8">
        <f t="shared" ca="1" si="22"/>
        <v>5.3149743456812768</v>
      </c>
      <c r="T129" s="8">
        <f t="shared" ca="1" si="23"/>
        <v>6.8003972322339576</v>
      </c>
    </row>
    <row r="130" spans="1:20" x14ac:dyDescent="0.25">
      <c r="A130" s="7">
        <f>A129+dt</f>
        <v>5.9499999999999869</v>
      </c>
      <c r="B130" s="8">
        <f t="shared" ca="1" si="12"/>
        <v>1.7090808082077299E-2</v>
      </c>
      <c r="C130" s="8">
        <f ca="1">lambda*(a-B129)*dt</f>
        <v>-1.9465268409073083E-3</v>
      </c>
      <c r="D130" s="8">
        <f ca="1">sigma*SQRT(dt)*_xlfn.NORM.S.INV(RAND())</f>
        <v>-4.279334860884737E-4</v>
      </c>
      <c r="E130" s="8">
        <f t="shared" ca="1" si="13"/>
        <v>-2.3744603269957821E-3</v>
      </c>
      <c r="G130" s="8">
        <f t="shared" ca="1" si="14"/>
        <v>5.3170464121951886</v>
      </c>
      <c r="H130" s="8">
        <f>mu*dt</f>
        <v>2.5000000000000005E-3</v>
      </c>
      <c r="I130" s="8">
        <f t="shared" ca="1" si="15"/>
        <v>-4.279334860884737E-4</v>
      </c>
      <c r="J130" s="8">
        <f t="shared" ca="1" si="16"/>
        <v>2.0720665139115266E-3</v>
      </c>
      <c r="L130" s="8">
        <f t="shared" ca="1" si="17"/>
        <v>6.814488107620166</v>
      </c>
      <c r="M130" s="8">
        <f ca="1">mu*L129*dt</f>
        <v>1.7000993080584895E-2</v>
      </c>
      <c r="N130" s="8">
        <f t="shared" ca="1" si="18"/>
        <v>-2.9101176943762855E-3</v>
      </c>
      <c r="O130" s="8">
        <f t="shared" ca="1" si="19"/>
        <v>1.4090875386208609E-2</v>
      </c>
      <c r="Q130" s="7">
        <f t="shared" si="20"/>
        <v>5.9499999999999869</v>
      </c>
      <c r="R130" s="8">
        <f t="shared" ca="1" si="21"/>
        <v>1.7090808082077299E-2</v>
      </c>
      <c r="S130" s="8">
        <f t="shared" ca="1" si="22"/>
        <v>5.3170464121951886</v>
      </c>
      <c r="T130" s="8">
        <f t="shared" ca="1" si="23"/>
        <v>6.814488107620166</v>
      </c>
    </row>
    <row r="131" spans="1:20" x14ac:dyDescent="0.25">
      <c r="A131" s="7">
        <f>A130+dt</f>
        <v>5.9999999999999867</v>
      </c>
      <c r="B131" s="8">
        <f t="shared" ca="1" si="12"/>
        <v>-3.6783749951447321E-3</v>
      </c>
      <c r="C131" s="8">
        <f ca="1">lambda*(a-B130)*dt</f>
        <v>-1.7090808082077299E-3</v>
      </c>
      <c r="D131" s="8">
        <f ca="1">sigma*SQRT(dt)*_xlfn.NORM.S.INV(RAND())</f>
        <v>-1.9060102269014303E-2</v>
      </c>
      <c r="E131" s="8">
        <f t="shared" ca="1" si="13"/>
        <v>-2.0769183077222031E-2</v>
      </c>
      <c r="G131" s="8">
        <f t="shared" ca="1" si="14"/>
        <v>5.3004863099261739</v>
      </c>
      <c r="H131" s="8">
        <f>mu*dt</f>
        <v>2.5000000000000005E-3</v>
      </c>
      <c r="I131" s="8">
        <f t="shared" ca="1" si="15"/>
        <v>-1.9060102269014303E-2</v>
      </c>
      <c r="J131" s="8">
        <f t="shared" ca="1" si="16"/>
        <v>-1.6560102269014304E-2</v>
      </c>
      <c r="L131" s="8">
        <f t="shared" ca="1" si="17"/>
        <v>6.701639487646994</v>
      </c>
      <c r="M131" s="8">
        <f ca="1">mu*L130*dt</f>
        <v>1.7036220269050419E-2</v>
      </c>
      <c r="N131" s="8">
        <f t="shared" ca="1" si="18"/>
        <v>-0.1298848402422221</v>
      </c>
      <c r="O131" s="8">
        <f t="shared" ca="1" si="19"/>
        <v>-0.11284861997317169</v>
      </c>
      <c r="Q131" s="7">
        <f t="shared" si="20"/>
        <v>5.9999999999999867</v>
      </c>
      <c r="R131" s="8">
        <f t="shared" ca="1" si="21"/>
        <v>-3.6783749951447321E-3</v>
      </c>
      <c r="S131" s="8">
        <f t="shared" ca="1" si="22"/>
        <v>5.3004863099261739</v>
      </c>
      <c r="T131" s="8">
        <f t="shared" ca="1" si="23"/>
        <v>6.701639487646994</v>
      </c>
    </row>
    <row r="132" spans="1:20" x14ac:dyDescent="0.25">
      <c r="A132" s="7">
        <f>A131+dt</f>
        <v>6.0499999999999865</v>
      </c>
      <c r="B132" s="8">
        <f t="shared" ca="1" si="12"/>
        <v>-4.7681283228294541E-3</v>
      </c>
      <c r="C132" s="8">
        <f ca="1">lambda*(a-B131)*dt</f>
        <v>3.6783749951447322E-4</v>
      </c>
      <c r="D132" s="8">
        <f ca="1">sigma*SQRT(dt)*_xlfn.NORM.S.INV(RAND())</f>
        <v>-1.4575908271991956E-3</v>
      </c>
      <c r="E132" s="8">
        <f t="shared" ca="1" si="13"/>
        <v>-1.0897533276847224E-3</v>
      </c>
      <c r="G132" s="8">
        <f t="shared" ca="1" si="14"/>
        <v>5.3015287190989744</v>
      </c>
      <c r="H132" s="8">
        <f>mu*dt</f>
        <v>2.5000000000000005E-3</v>
      </c>
      <c r="I132" s="8">
        <f t="shared" ca="1" si="15"/>
        <v>-1.4575908271991956E-3</v>
      </c>
      <c r="J132" s="8">
        <f t="shared" ca="1" si="16"/>
        <v>1.0424091728008049E-3</v>
      </c>
      <c r="L132" s="8">
        <f t="shared" ca="1" si="17"/>
        <v>6.7086253381217213</v>
      </c>
      <c r="M132" s="8">
        <f ca="1">mu*L131*dt</f>
        <v>1.6754098719117486E-2</v>
      </c>
      <c r="N132" s="8">
        <f t="shared" ca="1" si="18"/>
        <v>-9.768248244390175E-3</v>
      </c>
      <c r="O132" s="8">
        <f t="shared" ca="1" si="19"/>
        <v>6.9858504747273113E-3</v>
      </c>
      <c r="Q132" s="7">
        <f t="shared" si="20"/>
        <v>6.0499999999999865</v>
      </c>
      <c r="R132" s="8">
        <f t="shared" ca="1" si="21"/>
        <v>-4.7681283228294541E-3</v>
      </c>
      <c r="S132" s="8">
        <f t="shared" ca="1" si="22"/>
        <v>5.3015287190989744</v>
      </c>
      <c r="T132" s="8">
        <f t="shared" ca="1" si="23"/>
        <v>6.7086253381217213</v>
      </c>
    </row>
    <row r="133" spans="1:20" x14ac:dyDescent="0.25">
      <c r="A133" s="7">
        <f>A132+dt</f>
        <v>6.0999999999999863</v>
      </c>
      <c r="B133" s="8">
        <f t="shared" ca="1" si="12"/>
        <v>6.5434746961895232E-3</v>
      </c>
      <c r="C133" s="8">
        <f ca="1">lambda*(a-B132)*dt</f>
        <v>4.7681283228294543E-4</v>
      </c>
      <c r="D133" s="8">
        <f ca="1">sigma*SQRT(dt)*_xlfn.NORM.S.INV(RAND())</f>
        <v>1.0834790186736032E-2</v>
      </c>
      <c r="E133" s="8">
        <f t="shared" ca="1" si="13"/>
        <v>1.1311603019018977E-2</v>
      </c>
      <c r="G133" s="8">
        <f t="shared" ca="1" si="14"/>
        <v>5.3148635092857104</v>
      </c>
      <c r="H133" s="8">
        <f>mu*dt</f>
        <v>2.5000000000000005E-3</v>
      </c>
      <c r="I133" s="8">
        <f t="shared" ca="1" si="15"/>
        <v>1.0834790186736032E-2</v>
      </c>
      <c r="J133" s="8">
        <f t="shared" ca="1" si="16"/>
        <v>1.3334790186736032E-2</v>
      </c>
      <c r="L133" s="8">
        <f t="shared" ca="1" si="17"/>
        <v>6.7980834494469953</v>
      </c>
      <c r="M133" s="8">
        <f ca="1">mu*L132*dt</f>
        <v>1.6771563345304306E-2</v>
      </c>
      <c r="N133" s="8">
        <f t="shared" ca="1" si="18"/>
        <v>7.2686547979969915E-2</v>
      </c>
      <c r="O133" s="8">
        <f t="shared" ca="1" si="19"/>
        <v>8.9458111325274217E-2</v>
      </c>
      <c r="Q133" s="7">
        <f t="shared" si="20"/>
        <v>6.0999999999999863</v>
      </c>
      <c r="R133" s="8">
        <f t="shared" ca="1" si="21"/>
        <v>6.5434746961895232E-3</v>
      </c>
      <c r="S133" s="8">
        <f t="shared" ca="1" si="22"/>
        <v>5.3148635092857104</v>
      </c>
      <c r="T133" s="8">
        <f t="shared" ca="1" si="23"/>
        <v>6.7980834494469953</v>
      </c>
    </row>
    <row r="134" spans="1:20" x14ac:dyDescent="0.25">
      <c r="A134" s="7">
        <f>A133+dt</f>
        <v>6.1499999999999861</v>
      </c>
      <c r="B134" s="8">
        <f t="shared" ca="1" si="12"/>
        <v>1.2576982865270262E-2</v>
      </c>
      <c r="C134" s="8">
        <f ca="1">lambda*(a-B133)*dt</f>
        <v>-6.5434746961895234E-4</v>
      </c>
      <c r="D134" s="8">
        <f ca="1">sigma*SQRT(dt)*_xlfn.NORM.S.INV(RAND())</f>
        <v>6.6878556386996925E-3</v>
      </c>
      <c r="E134" s="8">
        <f t="shared" ca="1" si="13"/>
        <v>6.0335081690807398E-3</v>
      </c>
      <c r="G134" s="8">
        <f t="shared" ca="1" si="14"/>
        <v>5.3240513649244097</v>
      </c>
      <c r="H134" s="8">
        <f>mu*dt</f>
        <v>2.5000000000000005E-3</v>
      </c>
      <c r="I134" s="8">
        <f t="shared" ca="1" si="15"/>
        <v>6.6878556386996925E-3</v>
      </c>
      <c r="J134" s="8">
        <f t="shared" ca="1" si="16"/>
        <v>9.1878556386996921E-3</v>
      </c>
      <c r="L134" s="8">
        <f t="shared" ca="1" si="17"/>
        <v>6.8605432588003481</v>
      </c>
      <c r="M134" s="8">
        <f ca="1">mu*L133*dt</f>
        <v>1.6995208623617489E-2</v>
      </c>
      <c r="N134" s="8">
        <f t="shared" ca="1" si="18"/>
        <v>4.5464600729735141E-2</v>
      </c>
      <c r="O134" s="8">
        <f t="shared" ca="1" si="19"/>
        <v>6.245980935335263E-2</v>
      </c>
      <c r="Q134" s="7">
        <f t="shared" si="20"/>
        <v>6.1499999999999861</v>
      </c>
      <c r="R134" s="8">
        <f t="shared" ca="1" si="21"/>
        <v>1.2576982865270262E-2</v>
      </c>
      <c r="S134" s="8">
        <f t="shared" ca="1" si="22"/>
        <v>5.3240513649244097</v>
      </c>
      <c r="T134" s="8">
        <f t="shared" ca="1" si="23"/>
        <v>6.8605432588003481</v>
      </c>
    </row>
    <row r="135" spans="1:20" x14ac:dyDescent="0.25">
      <c r="A135" s="7">
        <f>A134+dt</f>
        <v>6.199999999999986</v>
      </c>
      <c r="B135" s="8">
        <f t="shared" ca="1" si="12"/>
        <v>1.4217824755501235E-3</v>
      </c>
      <c r="C135" s="8">
        <f ca="1">lambda*(a-B134)*dt</f>
        <v>-1.2576982865270263E-3</v>
      </c>
      <c r="D135" s="8">
        <f ca="1">sigma*SQRT(dt)*_xlfn.NORM.S.INV(RAND())</f>
        <v>-9.8975021031931128E-3</v>
      </c>
      <c r="E135" s="8">
        <f t="shared" ca="1" si="13"/>
        <v>-1.1155200389720139E-2</v>
      </c>
      <c r="G135" s="8">
        <f t="shared" ca="1" si="14"/>
        <v>5.3166538628212168</v>
      </c>
      <c r="H135" s="8">
        <f>mu*dt</f>
        <v>2.5000000000000005E-3</v>
      </c>
      <c r="I135" s="8">
        <f t="shared" ca="1" si="15"/>
        <v>-9.8975021031931128E-3</v>
      </c>
      <c r="J135" s="8">
        <f t="shared" ca="1" si="16"/>
        <v>-7.3975021031931123E-3</v>
      </c>
      <c r="L135" s="8">
        <f t="shared" ca="1" si="17"/>
        <v>6.8097923756143253</v>
      </c>
      <c r="M135" s="8">
        <f ca="1">mu*L134*dt</f>
        <v>1.7151358147000872E-2</v>
      </c>
      <c r="N135" s="8">
        <f t="shared" ca="1" si="18"/>
        <v>-6.7902241333023777E-2</v>
      </c>
      <c r="O135" s="8">
        <f t="shared" ca="1" si="19"/>
        <v>-5.0750883186022902E-2</v>
      </c>
      <c r="Q135" s="7">
        <f t="shared" si="20"/>
        <v>6.199999999999986</v>
      </c>
      <c r="R135" s="8">
        <f t="shared" ca="1" si="21"/>
        <v>1.4217824755501235E-3</v>
      </c>
      <c r="S135" s="8">
        <f t="shared" ca="1" si="22"/>
        <v>5.3166538628212168</v>
      </c>
      <c r="T135" s="8">
        <f t="shared" ca="1" si="23"/>
        <v>6.8097923756143253</v>
      </c>
    </row>
    <row r="136" spans="1:20" x14ac:dyDescent="0.25">
      <c r="A136" s="7">
        <f>A135+dt</f>
        <v>6.2499999999999858</v>
      </c>
      <c r="B136" s="8">
        <f t="shared" ca="1" si="12"/>
        <v>1.6121753906154005E-3</v>
      </c>
      <c r="C136" s="8">
        <f ca="1">lambda*(a-B135)*dt</f>
        <v>-1.4217824755501234E-4</v>
      </c>
      <c r="D136" s="8">
        <f ca="1">sigma*SQRT(dt)*_xlfn.NORM.S.INV(RAND())</f>
        <v>3.325711626202894E-4</v>
      </c>
      <c r="E136" s="8">
        <f t="shared" ca="1" si="13"/>
        <v>1.9039291506527705E-4</v>
      </c>
      <c r="G136" s="8">
        <f t="shared" ca="1" si="14"/>
        <v>5.3194864339838368</v>
      </c>
      <c r="H136" s="8">
        <f>mu*dt</f>
        <v>2.5000000000000005E-3</v>
      </c>
      <c r="I136" s="8">
        <f t="shared" ca="1" si="15"/>
        <v>3.325711626202894E-4</v>
      </c>
      <c r="J136" s="8">
        <f t="shared" ca="1" si="16"/>
        <v>2.8325711626202899E-3</v>
      </c>
      <c r="L136" s="8">
        <f t="shared" ca="1" si="17"/>
        <v>6.829081597120922</v>
      </c>
      <c r="M136" s="8">
        <f ca="1">mu*L135*dt</f>
        <v>1.7024480939035812E-2</v>
      </c>
      <c r="N136" s="8">
        <f t="shared" ca="1" si="18"/>
        <v>2.2647405675608385E-3</v>
      </c>
      <c r="O136" s="8">
        <f t="shared" ca="1" si="19"/>
        <v>1.9289221506596652E-2</v>
      </c>
      <c r="Q136" s="7">
        <f t="shared" si="20"/>
        <v>6.2499999999999858</v>
      </c>
      <c r="R136" s="8">
        <f t="shared" ca="1" si="21"/>
        <v>1.6121753906154005E-3</v>
      </c>
      <c r="S136" s="8">
        <f t="shared" ca="1" si="22"/>
        <v>5.3194864339838368</v>
      </c>
      <c r="T136" s="8">
        <f t="shared" ca="1" si="23"/>
        <v>6.829081597120922</v>
      </c>
    </row>
    <row r="137" spans="1:20" x14ac:dyDescent="0.25">
      <c r="A137" s="7">
        <f>A136+dt</f>
        <v>6.2999999999999856</v>
      </c>
      <c r="B137" s="8">
        <f t="shared" ca="1" si="12"/>
        <v>2.7692094391554615E-4</v>
      </c>
      <c r="C137" s="8">
        <f ca="1">lambda*(a-B136)*dt</f>
        <v>-1.6121753906154005E-4</v>
      </c>
      <c r="D137" s="8">
        <f ca="1">sigma*SQRT(dt)*_xlfn.NORM.S.INV(RAND())</f>
        <v>-1.1740369076383142E-3</v>
      </c>
      <c r="E137" s="8">
        <f t="shared" ca="1" si="13"/>
        <v>-1.3352544466998543E-3</v>
      </c>
      <c r="G137" s="8">
        <f t="shared" ca="1" si="14"/>
        <v>5.3208123970761987</v>
      </c>
      <c r="H137" s="8">
        <f>mu*dt</f>
        <v>2.5000000000000005E-3</v>
      </c>
      <c r="I137" s="8">
        <f t="shared" ca="1" si="15"/>
        <v>-1.1740369076383142E-3</v>
      </c>
      <c r="J137" s="8">
        <f t="shared" ca="1" si="16"/>
        <v>1.3259630923616863E-3</v>
      </c>
      <c r="L137" s="8">
        <f t="shared" ca="1" si="17"/>
        <v>6.8381367072734305</v>
      </c>
      <c r="M137" s="8">
        <f ca="1">mu*L136*dt</f>
        <v>1.7072703992802307E-2</v>
      </c>
      <c r="N137" s="8">
        <f t="shared" ca="1" si="18"/>
        <v>-8.0175938402935673E-3</v>
      </c>
      <c r="O137" s="8">
        <f t="shared" ca="1" si="19"/>
        <v>9.0551101525087399E-3</v>
      </c>
      <c r="Q137" s="7">
        <f t="shared" si="20"/>
        <v>6.2999999999999856</v>
      </c>
      <c r="R137" s="8">
        <f t="shared" ca="1" si="21"/>
        <v>2.7692094391554615E-4</v>
      </c>
      <c r="S137" s="8">
        <f t="shared" ca="1" si="22"/>
        <v>5.3208123970761987</v>
      </c>
      <c r="T137" s="8">
        <f t="shared" ca="1" si="23"/>
        <v>6.8381367072734305</v>
      </c>
    </row>
    <row r="138" spans="1:20" x14ac:dyDescent="0.25">
      <c r="A138" s="7">
        <f>A137+dt</f>
        <v>6.3499999999999854</v>
      </c>
      <c r="B138" s="8">
        <f t="shared" ca="1" si="12"/>
        <v>-2.4036118046940929E-2</v>
      </c>
      <c r="C138" s="8">
        <f ca="1">lambda*(a-B137)*dt</f>
        <v>-2.7692094391554616E-5</v>
      </c>
      <c r="D138" s="8">
        <f ca="1">sigma*SQRT(dt)*_xlfn.NORM.S.INV(RAND())</f>
        <v>-2.4285346896464922E-2</v>
      </c>
      <c r="E138" s="8">
        <f t="shared" ca="1" si="13"/>
        <v>-2.4313038990856475E-2</v>
      </c>
      <c r="G138" s="8">
        <f t="shared" ca="1" si="14"/>
        <v>5.2990270501797339</v>
      </c>
      <c r="H138" s="8">
        <f>mu*dt</f>
        <v>2.5000000000000005E-3</v>
      </c>
      <c r="I138" s="8">
        <f t="shared" ca="1" si="15"/>
        <v>-2.4285346896464922E-2</v>
      </c>
      <c r="J138" s="8">
        <f t="shared" ca="1" si="16"/>
        <v>-2.178534689646492E-2</v>
      </c>
      <c r="L138" s="8">
        <f t="shared" ca="1" si="17"/>
        <v>6.6891655269800285</v>
      </c>
      <c r="M138" s="8">
        <f ca="1">mu*L137*dt</f>
        <v>1.7095341768183579E-2</v>
      </c>
      <c r="N138" s="8">
        <f t="shared" ca="1" si="18"/>
        <v>-0.16606652206158568</v>
      </c>
      <c r="O138" s="8">
        <f t="shared" ca="1" si="19"/>
        <v>-0.14897118029340209</v>
      </c>
      <c r="Q138" s="7">
        <f t="shared" si="20"/>
        <v>6.3499999999999854</v>
      </c>
      <c r="R138" s="8">
        <f t="shared" ca="1" si="21"/>
        <v>-2.4036118046940929E-2</v>
      </c>
      <c r="S138" s="8">
        <f t="shared" ca="1" si="22"/>
        <v>5.2990270501797339</v>
      </c>
      <c r="T138" s="8">
        <f t="shared" ca="1" si="23"/>
        <v>6.6891655269800285</v>
      </c>
    </row>
    <row r="139" spans="1:20" x14ac:dyDescent="0.25">
      <c r="A139" s="7">
        <f>A138+dt</f>
        <v>6.3999999999999853</v>
      </c>
      <c r="B139" s="8">
        <f t="shared" ca="1" si="12"/>
        <v>-2.0414271518129232E-2</v>
      </c>
      <c r="C139" s="8">
        <f ca="1">lambda*(a-B138)*dt</f>
        <v>2.403611804694093E-3</v>
      </c>
      <c r="D139" s="8">
        <f ca="1">sigma*SQRT(dt)*_xlfn.NORM.S.INV(RAND())</f>
        <v>1.2182347241176045E-3</v>
      </c>
      <c r="E139" s="8">
        <f t="shared" ca="1" si="13"/>
        <v>3.6218465288116973E-3</v>
      </c>
      <c r="G139" s="8">
        <f t="shared" ca="1" si="14"/>
        <v>5.3027452849038514</v>
      </c>
      <c r="H139" s="8">
        <f>mu*dt</f>
        <v>2.5000000000000005E-3</v>
      </c>
      <c r="I139" s="8">
        <f t="shared" ca="1" si="15"/>
        <v>1.2182347241176045E-3</v>
      </c>
      <c r="J139" s="8">
        <f t="shared" ca="1" si="16"/>
        <v>3.7182347241176052E-3</v>
      </c>
      <c r="L139" s="8">
        <f t="shared" ca="1" si="17"/>
        <v>6.7140374145178159</v>
      </c>
      <c r="M139" s="8">
        <f ca="1">mu*L138*dt</f>
        <v>1.6722913817450072E-2</v>
      </c>
      <c r="N139" s="8">
        <f t="shared" ca="1" si="18"/>
        <v>8.1489737203375052E-3</v>
      </c>
      <c r="O139" s="8">
        <f t="shared" ca="1" si="19"/>
        <v>2.4871887537787577E-2</v>
      </c>
      <c r="Q139" s="7">
        <f t="shared" si="20"/>
        <v>6.3999999999999853</v>
      </c>
      <c r="R139" s="8">
        <f t="shared" ca="1" si="21"/>
        <v>-2.0414271518129232E-2</v>
      </c>
      <c r="S139" s="8">
        <f t="shared" ca="1" si="22"/>
        <v>5.3027452849038514</v>
      </c>
      <c r="T139" s="8">
        <f t="shared" ca="1" si="23"/>
        <v>6.7140374145178159</v>
      </c>
    </row>
    <row r="140" spans="1:20" x14ac:dyDescent="0.25">
      <c r="A140" s="7">
        <f>A139+dt</f>
        <v>6.4499999999999851</v>
      </c>
      <c r="B140" s="8">
        <f t="shared" ca="1" si="12"/>
        <v>-1.9578070228152816E-2</v>
      </c>
      <c r="C140" s="8">
        <f ca="1">lambda*(a-B139)*dt</f>
        <v>2.0414271518129231E-3</v>
      </c>
      <c r="D140" s="8">
        <f ca="1">sigma*SQRT(dt)*_xlfn.NORM.S.INV(RAND())</f>
        <v>-1.2052258618365063E-3</v>
      </c>
      <c r="E140" s="8">
        <f t="shared" ca="1" si="13"/>
        <v>8.3620128997641675E-4</v>
      </c>
      <c r="G140" s="8">
        <f t="shared" ca="1" si="14"/>
        <v>5.3040400590420154</v>
      </c>
      <c r="H140" s="8">
        <f>mu*dt</f>
        <v>2.5000000000000005E-3</v>
      </c>
      <c r="I140" s="8">
        <f t="shared" ca="1" si="15"/>
        <v>-1.2052258618365063E-3</v>
      </c>
      <c r="J140" s="8">
        <f t="shared" ca="1" si="16"/>
        <v>1.2947741381634942E-3</v>
      </c>
      <c r="L140" s="8">
        <f t="shared" ca="1" si="17"/>
        <v>6.7227305765247953</v>
      </c>
      <c r="M140" s="8">
        <f ca="1">mu*L139*dt</f>
        <v>1.6785093536294541E-2</v>
      </c>
      <c r="N140" s="8">
        <f t="shared" ca="1" si="18"/>
        <v>-8.0919315293147831E-3</v>
      </c>
      <c r="O140" s="8">
        <f t="shared" ca="1" si="19"/>
        <v>8.6931620069797579E-3</v>
      </c>
      <c r="Q140" s="7">
        <f t="shared" si="20"/>
        <v>6.4499999999999851</v>
      </c>
      <c r="R140" s="8">
        <f t="shared" ca="1" si="21"/>
        <v>-1.9578070228152816E-2</v>
      </c>
      <c r="S140" s="8">
        <f t="shared" ca="1" si="22"/>
        <v>5.3040400590420154</v>
      </c>
      <c r="T140" s="8">
        <f t="shared" ca="1" si="23"/>
        <v>6.7227305765247953</v>
      </c>
    </row>
    <row r="141" spans="1:20" x14ac:dyDescent="0.25">
      <c r="A141" s="7">
        <f>A140+dt</f>
        <v>6.4999999999999849</v>
      </c>
      <c r="B141" s="8">
        <f t="shared" ref="B141:B204" ca="1" si="24">B140+E141</f>
        <v>-1.2598206123829302E-2</v>
      </c>
      <c r="C141" s="8">
        <f ca="1">lambda*(a-B140)*dt</f>
        <v>1.9578070228152816E-3</v>
      </c>
      <c r="D141" s="8">
        <f ca="1">sigma*SQRT(dt)*_xlfn.NORM.S.INV(RAND())</f>
        <v>5.0220570815082315E-3</v>
      </c>
      <c r="E141" s="8">
        <f t="shared" ref="E141:E204" ca="1" si="25">C141+D141</f>
        <v>6.9798641043235131E-3</v>
      </c>
      <c r="G141" s="8">
        <f t="shared" ref="G141:G204" ca="1" si="26">G140+J141</f>
        <v>5.3115621161235236</v>
      </c>
      <c r="H141" s="8">
        <f>mu*dt</f>
        <v>2.5000000000000005E-3</v>
      </c>
      <c r="I141" s="8">
        <f t="shared" ref="I141:I204" ca="1" si="27">D141</f>
        <v>5.0220570815082315E-3</v>
      </c>
      <c r="J141" s="8">
        <f t="shared" ref="J141:J204" ca="1" si="28">H141+I141</f>
        <v>7.522057081508232E-3</v>
      </c>
      <c r="L141" s="8">
        <f t="shared" ref="L141:L204" ca="1" si="29">L140+O141</f>
        <v>6.7732993396650159</v>
      </c>
      <c r="M141" s="8">
        <f ca="1">mu*L140*dt</f>
        <v>1.6806826441311991E-2</v>
      </c>
      <c r="N141" s="8">
        <f t="shared" ref="N141:N204" ca="1" si="30">L140*D141</f>
        <v>3.3761936698908264E-2</v>
      </c>
      <c r="O141" s="8">
        <f t="shared" ref="O141:O204" ca="1" si="31">M141+N141</f>
        <v>5.0568763140220255E-2</v>
      </c>
      <c r="Q141" s="7">
        <f t="shared" ref="Q141:Q204" si="32">A141</f>
        <v>6.4999999999999849</v>
      </c>
      <c r="R141" s="8">
        <f t="shared" ref="R141:R204" ca="1" si="33">B141</f>
        <v>-1.2598206123829302E-2</v>
      </c>
      <c r="S141" s="8">
        <f t="shared" ref="S141:S204" ca="1" si="34">G141</f>
        <v>5.3115621161235236</v>
      </c>
      <c r="T141" s="8">
        <f t="shared" ref="T141:T204" ca="1" si="35">L141</f>
        <v>6.7732993396650159</v>
      </c>
    </row>
    <row r="142" spans="1:20" x14ac:dyDescent="0.25">
      <c r="A142" s="7">
        <f>A141+dt</f>
        <v>6.5499999999999847</v>
      </c>
      <c r="B142" s="8">
        <f t="shared" ca="1" si="24"/>
        <v>-2.195082013920456E-4</v>
      </c>
      <c r="C142" s="8">
        <f ca="1">lambda*(a-B141)*dt</f>
        <v>1.2598206123829302E-3</v>
      </c>
      <c r="D142" s="8">
        <f ca="1">sigma*SQRT(dt)*_xlfn.NORM.S.INV(RAND())</f>
        <v>1.1118877310054325E-2</v>
      </c>
      <c r="E142" s="8">
        <f t="shared" ca="1" si="25"/>
        <v>1.2378697922437256E-2</v>
      </c>
      <c r="G142" s="8">
        <f t="shared" ca="1" si="26"/>
        <v>5.3251809934335776</v>
      </c>
      <c r="H142" s="8">
        <f>mu*dt</f>
        <v>2.5000000000000005E-3</v>
      </c>
      <c r="I142" s="8">
        <f t="shared" ca="1" si="27"/>
        <v>1.1118877310054325E-2</v>
      </c>
      <c r="J142" s="8">
        <f t="shared" ca="1" si="28"/>
        <v>1.3618877310054326E-2</v>
      </c>
      <c r="L142" s="8">
        <f t="shared" ca="1" si="29"/>
        <v>6.8655440723561858</v>
      </c>
      <c r="M142" s="8">
        <f ca="1">mu*L141*dt</f>
        <v>1.6933248349162541E-2</v>
      </c>
      <c r="N142" s="8">
        <f t="shared" ca="1" si="30"/>
        <v>7.5311484342007295E-2</v>
      </c>
      <c r="O142" s="8">
        <f t="shared" ca="1" si="31"/>
        <v>9.224473269116984E-2</v>
      </c>
      <c r="Q142" s="7">
        <f t="shared" si="32"/>
        <v>6.5499999999999847</v>
      </c>
      <c r="R142" s="8">
        <f t="shared" ca="1" si="33"/>
        <v>-2.195082013920456E-4</v>
      </c>
      <c r="S142" s="8">
        <f t="shared" ca="1" si="34"/>
        <v>5.3251809934335776</v>
      </c>
      <c r="T142" s="8">
        <f t="shared" ca="1" si="35"/>
        <v>6.8655440723561858</v>
      </c>
    </row>
    <row r="143" spans="1:20" x14ac:dyDescent="0.25">
      <c r="A143" s="7">
        <f>A142+dt</f>
        <v>6.5999999999999845</v>
      </c>
      <c r="B143" s="8">
        <f t="shared" ca="1" si="24"/>
        <v>-4.1282858572627415E-3</v>
      </c>
      <c r="C143" s="8">
        <f ca="1">lambda*(a-B142)*dt</f>
        <v>2.195082013920456E-5</v>
      </c>
      <c r="D143" s="8">
        <f ca="1">sigma*SQRT(dt)*_xlfn.NORM.S.INV(RAND())</f>
        <v>-3.9307284760099004E-3</v>
      </c>
      <c r="E143" s="8">
        <f t="shared" ca="1" si="25"/>
        <v>-3.9087776558706959E-3</v>
      </c>
      <c r="G143" s="8">
        <f t="shared" ca="1" si="26"/>
        <v>5.3237502649575674</v>
      </c>
      <c r="H143" s="8">
        <f>mu*dt</f>
        <v>2.5000000000000005E-3</v>
      </c>
      <c r="I143" s="8">
        <f t="shared" ca="1" si="27"/>
        <v>-3.9307284760099004E-3</v>
      </c>
      <c r="J143" s="8">
        <f t="shared" ca="1" si="28"/>
        <v>-1.4307284760098999E-3</v>
      </c>
      <c r="L143" s="8">
        <f t="shared" ca="1" si="29"/>
        <v>6.8557213429485646</v>
      </c>
      <c r="M143" s="8">
        <f ca="1">mu*L142*dt</f>
        <v>1.7163860180890469E-2</v>
      </c>
      <c r="N143" s="8">
        <f t="shared" ca="1" si="30"/>
        <v>-2.6986589588511436E-2</v>
      </c>
      <c r="O143" s="8">
        <f t="shared" ca="1" si="31"/>
        <v>-9.822729407620967E-3</v>
      </c>
      <c r="Q143" s="7">
        <f t="shared" si="32"/>
        <v>6.5999999999999845</v>
      </c>
      <c r="R143" s="8">
        <f t="shared" ca="1" si="33"/>
        <v>-4.1282858572627415E-3</v>
      </c>
      <c r="S143" s="8">
        <f t="shared" ca="1" si="34"/>
        <v>5.3237502649575674</v>
      </c>
      <c r="T143" s="8">
        <f t="shared" ca="1" si="35"/>
        <v>6.8557213429485646</v>
      </c>
    </row>
    <row r="144" spans="1:20" x14ac:dyDescent="0.25">
      <c r="A144" s="7">
        <f>A143+dt</f>
        <v>6.6499999999999844</v>
      </c>
      <c r="B144" s="8">
        <f t="shared" ca="1" si="24"/>
        <v>-1.8267721557575028E-2</v>
      </c>
      <c r="C144" s="8">
        <f ca="1">lambda*(a-B143)*dt</f>
        <v>4.1282858572627419E-4</v>
      </c>
      <c r="D144" s="8">
        <f ca="1">sigma*SQRT(dt)*_xlfn.NORM.S.INV(RAND())</f>
        <v>-1.4552264286038561E-2</v>
      </c>
      <c r="E144" s="8">
        <f t="shared" ca="1" si="25"/>
        <v>-1.4139435700312288E-2</v>
      </c>
      <c r="G144" s="8">
        <f t="shared" ca="1" si="26"/>
        <v>5.3116980006715284</v>
      </c>
      <c r="H144" s="8">
        <f>mu*dt</f>
        <v>2.5000000000000005E-3</v>
      </c>
      <c r="I144" s="8">
        <f t="shared" ca="1" si="27"/>
        <v>-1.4552264286038561E-2</v>
      </c>
      <c r="J144" s="8">
        <f t="shared" ca="1" si="28"/>
        <v>-1.2052264286038561E-2</v>
      </c>
      <c r="L144" s="8">
        <f t="shared" ca="1" si="29"/>
        <v>6.7730943774519137</v>
      </c>
      <c r="M144" s="8">
        <f ca="1">mu*L143*dt</f>
        <v>1.7139303357371415E-2</v>
      </c>
      <c r="N144" s="8">
        <f t="shared" ca="1" si="30"/>
        <v>-9.9766268854022719E-2</v>
      </c>
      <c r="O144" s="8">
        <f t="shared" ca="1" si="31"/>
        <v>-8.26269654966513E-2</v>
      </c>
      <c r="Q144" s="7">
        <f t="shared" si="32"/>
        <v>6.6499999999999844</v>
      </c>
      <c r="R144" s="8">
        <f t="shared" ca="1" si="33"/>
        <v>-1.8267721557575028E-2</v>
      </c>
      <c r="S144" s="8">
        <f t="shared" ca="1" si="34"/>
        <v>5.3116980006715284</v>
      </c>
      <c r="T144" s="8">
        <f t="shared" ca="1" si="35"/>
        <v>6.7730943774519137</v>
      </c>
    </row>
    <row r="145" spans="1:20" x14ac:dyDescent="0.25">
      <c r="A145" s="7">
        <f>A144+dt</f>
        <v>6.6999999999999842</v>
      </c>
      <c r="B145" s="8">
        <f t="shared" ca="1" si="24"/>
        <v>-1.8042748535798393E-2</v>
      </c>
      <c r="C145" s="8">
        <f ca="1">lambda*(a-B144)*dt</f>
        <v>1.826772155757503E-3</v>
      </c>
      <c r="D145" s="8">
        <f ca="1">sigma*SQRT(dt)*_xlfn.NORM.S.INV(RAND())</f>
        <v>-1.6017991339808675E-3</v>
      </c>
      <c r="E145" s="8">
        <f t="shared" ca="1" si="25"/>
        <v>2.2497302177663546E-4</v>
      </c>
      <c r="G145" s="8">
        <f t="shared" ca="1" si="26"/>
        <v>5.3125962015375476</v>
      </c>
      <c r="H145" s="8">
        <f>mu*dt</f>
        <v>2.5000000000000005E-3</v>
      </c>
      <c r="I145" s="8">
        <f t="shared" ca="1" si="27"/>
        <v>-1.6017991339808675E-3</v>
      </c>
      <c r="J145" s="8">
        <f t="shared" ca="1" si="28"/>
        <v>8.9820086601913296E-4</v>
      </c>
      <c r="L145" s="8">
        <f t="shared" ca="1" si="29"/>
        <v>6.7791779766873699</v>
      </c>
      <c r="M145" s="8">
        <f ca="1">mu*L144*dt</f>
        <v>1.6932735943629786E-2</v>
      </c>
      <c r="N145" s="8">
        <f t="shared" ca="1" si="30"/>
        <v>-1.0849136708173158E-2</v>
      </c>
      <c r="O145" s="8">
        <f t="shared" ca="1" si="31"/>
        <v>6.0835992354566285E-3</v>
      </c>
      <c r="Q145" s="7">
        <f t="shared" si="32"/>
        <v>6.6999999999999842</v>
      </c>
      <c r="R145" s="8">
        <f t="shared" ca="1" si="33"/>
        <v>-1.8042748535798393E-2</v>
      </c>
      <c r="S145" s="8">
        <f t="shared" ca="1" si="34"/>
        <v>5.3125962015375476</v>
      </c>
      <c r="T145" s="8">
        <f t="shared" ca="1" si="35"/>
        <v>6.7791779766873699</v>
      </c>
    </row>
    <row r="146" spans="1:20" x14ac:dyDescent="0.25">
      <c r="A146" s="7">
        <f>A145+dt</f>
        <v>6.749999999999984</v>
      </c>
      <c r="B146" s="8">
        <f t="shared" ca="1" si="24"/>
        <v>-3.443391619944948E-2</v>
      </c>
      <c r="C146" s="8">
        <f ca="1">lambda*(a-B145)*dt</f>
        <v>1.8042748535798394E-3</v>
      </c>
      <c r="D146" s="8">
        <f ca="1">sigma*SQRT(dt)*_xlfn.NORM.S.INV(RAND())</f>
        <v>-1.8195442517230931E-2</v>
      </c>
      <c r="E146" s="8">
        <f t="shared" ca="1" si="25"/>
        <v>-1.6391167663651091E-2</v>
      </c>
      <c r="G146" s="8">
        <f t="shared" ca="1" si="26"/>
        <v>5.2969007590203168</v>
      </c>
      <c r="H146" s="8">
        <f>mu*dt</f>
        <v>2.5000000000000005E-3</v>
      </c>
      <c r="I146" s="8">
        <f t="shared" ca="1" si="27"/>
        <v>-1.8195442517230931E-2</v>
      </c>
      <c r="J146" s="8">
        <f t="shared" ca="1" si="28"/>
        <v>-1.5695442517230929E-2</v>
      </c>
      <c r="L146" s="8">
        <f t="shared" ca="1" si="29"/>
        <v>6.6727757784401955</v>
      </c>
      <c r="M146" s="8">
        <f ca="1">mu*L145*dt</f>
        <v>1.6947944941718428E-2</v>
      </c>
      <c r="N146" s="8">
        <f t="shared" ca="1" si="30"/>
        <v>-0.12335014318889292</v>
      </c>
      <c r="O146" s="8">
        <f t="shared" ca="1" si="31"/>
        <v>-0.10640219824717449</v>
      </c>
      <c r="Q146" s="7">
        <f t="shared" si="32"/>
        <v>6.749999999999984</v>
      </c>
      <c r="R146" s="8">
        <f t="shared" ca="1" si="33"/>
        <v>-3.443391619944948E-2</v>
      </c>
      <c r="S146" s="8">
        <f t="shared" ca="1" si="34"/>
        <v>5.2969007590203168</v>
      </c>
      <c r="T146" s="8">
        <f t="shared" ca="1" si="35"/>
        <v>6.6727757784401955</v>
      </c>
    </row>
    <row r="147" spans="1:20" x14ac:dyDescent="0.25">
      <c r="A147" s="7">
        <f>A146+dt</f>
        <v>6.7999999999999838</v>
      </c>
      <c r="B147" s="8">
        <f t="shared" ca="1" si="24"/>
        <v>-3.9351487487091705E-2</v>
      </c>
      <c r="C147" s="8">
        <f ca="1">lambda*(a-B146)*dt</f>
        <v>3.4433916199449483E-3</v>
      </c>
      <c r="D147" s="8">
        <f ca="1">sigma*SQRT(dt)*_xlfn.NORM.S.INV(RAND())</f>
        <v>-8.3609629075871768E-3</v>
      </c>
      <c r="E147" s="8">
        <f t="shared" ca="1" si="25"/>
        <v>-4.9175712876422285E-3</v>
      </c>
      <c r="G147" s="8">
        <f t="shared" ca="1" si="26"/>
        <v>5.29103979611273</v>
      </c>
      <c r="H147" s="8">
        <f>mu*dt</f>
        <v>2.5000000000000005E-3</v>
      </c>
      <c r="I147" s="8">
        <f t="shared" ca="1" si="27"/>
        <v>-8.3609629075871768E-3</v>
      </c>
      <c r="J147" s="8">
        <f t="shared" ca="1" si="28"/>
        <v>-5.8609629075871764E-3</v>
      </c>
      <c r="L147" s="8">
        <f t="shared" ca="1" si="29"/>
        <v>6.6336668871121116</v>
      </c>
      <c r="M147" s="8">
        <f ca="1">mu*L146*dt</f>
        <v>1.6681939446100493E-2</v>
      </c>
      <c r="N147" s="8">
        <f t="shared" ca="1" si="30"/>
        <v>-5.5790830774184626E-2</v>
      </c>
      <c r="O147" s="8">
        <f t="shared" ca="1" si="31"/>
        <v>-3.9108891328084136E-2</v>
      </c>
      <c r="Q147" s="7">
        <f t="shared" si="32"/>
        <v>6.7999999999999838</v>
      </c>
      <c r="R147" s="8">
        <f t="shared" ca="1" si="33"/>
        <v>-3.9351487487091705E-2</v>
      </c>
      <c r="S147" s="8">
        <f t="shared" ca="1" si="34"/>
        <v>5.29103979611273</v>
      </c>
      <c r="T147" s="8">
        <f t="shared" ca="1" si="35"/>
        <v>6.6336668871121116</v>
      </c>
    </row>
    <row r="148" spans="1:20" x14ac:dyDescent="0.25">
      <c r="A148" s="7">
        <f>A147+dt</f>
        <v>6.8499999999999837</v>
      </c>
      <c r="B148" s="8">
        <f t="shared" ca="1" si="24"/>
        <v>-3.4736929925914345E-2</v>
      </c>
      <c r="C148" s="8">
        <f ca="1">lambda*(a-B147)*dt</f>
        <v>3.9351487487091705E-3</v>
      </c>
      <c r="D148" s="8">
        <f ca="1">sigma*SQRT(dt)*_xlfn.NORM.S.INV(RAND())</f>
        <v>6.7940881246819E-4</v>
      </c>
      <c r="E148" s="8">
        <f t="shared" ca="1" si="25"/>
        <v>4.6145575611773607E-3</v>
      </c>
      <c r="G148" s="8">
        <f t="shared" ca="1" si="26"/>
        <v>5.2942192049251986</v>
      </c>
      <c r="H148" s="8">
        <f>mu*dt</f>
        <v>2.5000000000000005E-3</v>
      </c>
      <c r="I148" s="8">
        <f t="shared" ca="1" si="27"/>
        <v>6.7940881246819E-4</v>
      </c>
      <c r="J148" s="8">
        <f t="shared" ca="1" si="28"/>
        <v>3.1794088124681907E-3</v>
      </c>
      <c r="L148" s="8">
        <f t="shared" ca="1" si="29"/>
        <v>6.6547580260719741</v>
      </c>
      <c r="M148" s="8">
        <f ca="1">mu*L147*dt</f>
        <v>1.658416721778028E-2</v>
      </c>
      <c r="N148" s="8">
        <f t="shared" ca="1" si="30"/>
        <v>4.506971742082394E-3</v>
      </c>
      <c r="O148" s="8">
        <f t="shared" ca="1" si="31"/>
        <v>2.1091138959862674E-2</v>
      </c>
      <c r="Q148" s="7">
        <f t="shared" si="32"/>
        <v>6.8499999999999837</v>
      </c>
      <c r="R148" s="8">
        <f t="shared" ca="1" si="33"/>
        <v>-3.4736929925914345E-2</v>
      </c>
      <c r="S148" s="8">
        <f t="shared" ca="1" si="34"/>
        <v>5.2942192049251986</v>
      </c>
      <c r="T148" s="8">
        <f t="shared" ca="1" si="35"/>
        <v>6.6547580260719741</v>
      </c>
    </row>
    <row r="149" spans="1:20" x14ac:dyDescent="0.25">
      <c r="A149" s="7">
        <f>A148+dt</f>
        <v>6.8999999999999835</v>
      </c>
      <c r="B149" s="8">
        <f t="shared" ca="1" si="24"/>
        <v>-5.0493283625034108E-2</v>
      </c>
      <c r="C149" s="8">
        <f ca="1">lambda*(a-B148)*dt</f>
        <v>3.4736929925914348E-3</v>
      </c>
      <c r="D149" s="8">
        <f ca="1">sigma*SQRT(dt)*_xlfn.NORM.S.INV(RAND())</f>
        <v>-1.9230046691711199E-2</v>
      </c>
      <c r="E149" s="8">
        <f t="shared" ca="1" si="25"/>
        <v>-1.5756353699119763E-2</v>
      </c>
      <c r="G149" s="8">
        <f t="shared" ca="1" si="26"/>
        <v>5.2774891582334877</v>
      </c>
      <c r="H149" s="8">
        <f>mu*dt</f>
        <v>2.5000000000000005E-3</v>
      </c>
      <c r="I149" s="8">
        <f t="shared" ca="1" si="27"/>
        <v>-1.9230046691711199E-2</v>
      </c>
      <c r="J149" s="8">
        <f t="shared" ca="1" si="28"/>
        <v>-1.6730046691711201E-2</v>
      </c>
      <c r="L149" s="8">
        <f t="shared" ca="1" si="29"/>
        <v>6.5434236135737498</v>
      </c>
      <c r="M149" s="8">
        <f ca="1">mu*L148*dt</f>
        <v>1.6636895065179937E-2</v>
      </c>
      <c r="N149" s="8">
        <f t="shared" ca="1" si="30"/>
        <v>-0.12797130756340391</v>
      </c>
      <c r="O149" s="8">
        <f t="shared" ca="1" si="31"/>
        <v>-0.11133441249822398</v>
      </c>
      <c r="Q149" s="7">
        <f t="shared" si="32"/>
        <v>6.8999999999999835</v>
      </c>
      <c r="R149" s="8">
        <f t="shared" ca="1" si="33"/>
        <v>-5.0493283625034108E-2</v>
      </c>
      <c r="S149" s="8">
        <f t="shared" ca="1" si="34"/>
        <v>5.2774891582334877</v>
      </c>
      <c r="T149" s="8">
        <f t="shared" ca="1" si="35"/>
        <v>6.5434236135737498</v>
      </c>
    </row>
    <row r="150" spans="1:20" x14ac:dyDescent="0.25">
      <c r="A150" s="7">
        <f>A149+dt</f>
        <v>6.9499999999999833</v>
      </c>
      <c r="B150" s="8">
        <f t="shared" ca="1" si="24"/>
        <v>-3.2673427155748849E-2</v>
      </c>
      <c r="C150" s="8">
        <f ca="1">lambda*(a-B149)*dt</f>
        <v>5.0493283625034115E-3</v>
      </c>
      <c r="D150" s="8">
        <f ca="1">sigma*SQRT(dt)*_xlfn.NORM.S.INV(RAND())</f>
        <v>1.2770528106781847E-2</v>
      </c>
      <c r="E150" s="8">
        <f t="shared" ca="1" si="25"/>
        <v>1.7819856469285258E-2</v>
      </c>
      <c r="G150" s="8">
        <f t="shared" ca="1" si="26"/>
        <v>5.2927596863402693</v>
      </c>
      <c r="H150" s="8">
        <f>mu*dt</f>
        <v>2.5000000000000005E-3</v>
      </c>
      <c r="I150" s="8">
        <f t="shared" ca="1" si="27"/>
        <v>1.2770528106781847E-2</v>
      </c>
      <c r="J150" s="8">
        <f t="shared" ca="1" si="28"/>
        <v>1.5270528106781847E-2</v>
      </c>
      <c r="L150" s="8">
        <f t="shared" ca="1" si="29"/>
        <v>6.6433451477794074</v>
      </c>
      <c r="M150" s="8">
        <f ca="1">mu*L149*dt</f>
        <v>1.6358559033934374E-2</v>
      </c>
      <c r="N150" s="8">
        <f t="shared" ca="1" si="30"/>
        <v>8.3562975171723605E-2</v>
      </c>
      <c r="O150" s="8">
        <f t="shared" ca="1" si="31"/>
        <v>9.9921534205657983E-2</v>
      </c>
      <c r="Q150" s="7">
        <f t="shared" si="32"/>
        <v>6.9499999999999833</v>
      </c>
      <c r="R150" s="8">
        <f t="shared" ca="1" si="33"/>
        <v>-3.2673427155748849E-2</v>
      </c>
      <c r="S150" s="8">
        <f t="shared" ca="1" si="34"/>
        <v>5.2927596863402693</v>
      </c>
      <c r="T150" s="8">
        <f t="shared" ca="1" si="35"/>
        <v>6.6433451477794074</v>
      </c>
    </row>
    <row r="151" spans="1:20" x14ac:dyDescent="0.25">
      <c r="A151" s="7">
        <f>A150+dt</f>
        <v>6.9999999999999831</v>
      </c>
      <c r="B151" s="8">
        <f t="shared" ca="1" si="24"/>
        <v>-2.4807008822880137E-2</v>
      </c>
      <c r="C151" s="8">
        <f ca="1">lambda*(a-B150)*dt</f>
        <v>3.2673427155748853E-3</v>
      </c>
      <c r="D151" s="8">
        <f ca="1">sigma*SQRT(dt)*_xlfn.NORM.S.INV(RAND())</f>
        <v>4.5990756172938256E-3</v>
      </c>
      <c r="E151" s="8">
        <f t="shared" ca="1" si="25"/>
        <v>7.8664183328687118E-3</v>
      </c>
      <c r="G151" s="8">
        <f t="shared" ca="1" si="26"/>
        <v>5.2998587619575632</v>
      </c>
      <c r="H151" s="8">
        <f>mu*dt</f>
        <v>2.5000000000000005E-3</v>
      </c>
      <c r="I151" s="8">
        <f t="shared" ca="1" si="27"/>
        <v>4.5990756172938256E-3</v>
      </c>
      <c r="J151" s="8">
        <f t="shared" ca="1" si="28"/>
        <v>7.0990756172938261E-3</v>
      </c>
      <c r="L151" s="8">
        <f t="shared" ca="1" si="29"/>
        <v>6.6905067573352754</v>
      </c>
      <c r="M151" s="8">
        <f ca="1">mu*L150*dt</f>
        <v>1.6608362869448522E-2</v>
      </c>
      <c r="N151" s="8">
        <f t="shared" ca="1" si="30"/>
        <v>3.0553246686419521E-2</v>
      </c>
      <c r="O151" s="8">
        <f t="shared" ca="1" si="31"/>
        <v>4.7161609555868039E-2</v>
      </c>
      <c r="Q151" s="7">
        <f t="shared" si="32"/>
        <v>6.9999999999999831</v>
      </c>
      <c r="R151" s="8">
        <f t="shared" ca="1" si="33"/>
        <v>-2.4807008822880137E-2</v>
      </c>
      <c r="S151" s="8">
        <f t="shared" ca="1" si="34"/>
        <v>5.2998587619575632</v>
      </c>
      <c r="T151" s="8">
        <f t="shared" ca="1" si="35"/>
        <v>6.6905067573352754</v>
      </c>
    </row>
    <row r="152" spans="1:20" x14ac:dyDescent="0.25">
      <c r="A152" s="7">
        <f>A151+dt</f>
        <v>7.0499999999999829</v>
      </c>
      <c r="B152" s="8">
        <f t="shared" ca="1" si="24"/>
        <v>-3.2230187283181402E-2</v>
      </c>
      <c r="C152" s="8">
        <f ca="1">lambda*(a-B151)*dt</f>
        <v>2.4807008822880141E-3</v>
      </c>
      <c r="D152" s="8">
        <f ca="1">sigma*SQRT(dt)*_xlfn.NORM.S.INV(RAND())</f>
        <v>-9.9038793425892772E-3</v>
      </c>
      <c r="E152" s="8">
        <f t="shared" ca="1" si="25"/>
        <v>-7.4231784603012631E-3</v>
      </c>
      <c r="G152" s="8">
        <f t="shared" ca="1" si="26"/>
        <v>5.2924548826149742</v>
      </c>
      <c r="H152" s="8">
        <f>mu*dt</f>
        <v>2.5000000000000005E-3</v>
      </c>
      <c r="I152" s="8">
        <f t="shared" ca="1" si="27"/>
        <v>-9.9038793425892772E-3</v>
      </c>
      <c r="J152" s="8">
        <f t="shared" ca="1" si="28"/>
        <v>-7.4038793425892768E-3</v>
      </c>
      <c r="L152" s="8">
        <f t="shared" ca="1" si="29"/>
        <v>6.6409710525631871</v>
      </c>
      <c r="M152" s="8">
        <f ca="1">mu*L151*dt</f>
        <v>1.6726266893338192E-2</v>
      </c>
      <c r="N152" s="8">
        <f t="shared" ca="1" si="30"/>
        <v>-6.62619716654268E-2</v>
      </c>
      <c r="O152" s="8">
        <f t="shared" ca="1" si="31"/>
        <v>-4.9535704772088608E-2</v>
      </c>
      <c r="Q152" s="7">
        <f t="shared" si="32"/>
        <v>7.0499999999999829</v>
      </c>
      <c r="R152" s="8">
        <f t="shared" ca="1" si="33"/>
        <v>-3.2230187283181402E-2</v>
      </c>
      <c r="S152" s="8">
        <f t="shared" ca="1" si="34"/>
        <v>5.2924548826149742</v>
      </c>
      <c r="T152" s="8">
        <f t="shared" ca="1" si="35"/>
        <v>6.6409710525631871</v>
      </c>
    </row>
    <row r="153" spans="1:20" x14ac:dyDescent="0.25">
      <c r="A153" s="7">
        <f>A152+dt</f>
        <v>7.0999999999999828</v>
      </c>
      <c r="B153" s="8">
        <f t="shared" ca="1" si="24"/>
        <v>-4.8298160747628743E-2</v>
      </c>
      <c r="C153" s="8">
        <f ca="1">lambda*(a-B152)*dt</f>
        <v>3.2230187283181404E-3</v>
      </c>
      <c r="D153" s="8">
        <f ca="1">sigma*SQRT(dt)*_xlfn.NORM.S.INV(RAND())</f>
        <v>-1.9290992192765477E-2</v>
      </c>
      <c r="E153" s="8">
        <f t="shared" ca="1" si="25"/>
        <v>-1.6067973464447338E-2</v>
      </c>
      <c r="G153" s="8">
        <f t="shared" ca="1" si="26"/>
        <v>5.2756638904222086</v>
      </c>
      <c r="H153" s="8">
        <f>mu*dt</f>
        <v>2.5000000000000005E-3</v>
      </c>
      <c r="I153" s="8">
        <f t="shared" ca="1" si="27"/>
        <v>-1.9290992192765477E-2</v>
      </c>
      <c r="J153" s="8">
        <f t="shared" ca="1" si="28"/>
        <v>-1.6790992192765475E-2</v>
      </c>
      <c r="L153" s="8">
        <f t="shared" ca="1" si="29"/>
        <v>6.5294625594672171</v>
      </c>
      <c r="M153" s="8">
        <f ca="1">mu*L152*dt</f>
        <v>1.6602427631407967E-2</v>
      </c>
      <c r="N153" s="8">
        <f t="shared" ca="1" si="30"/>
        <v>-0.12811092072737798</v>
      </c>
      <c r="O153" s="8">
        <f t="shared" ca="1" si="31"/>
        <v>-0.11150849309597001</v>
      </c>
      <c r="Q153" s="7">
        <f t="shared" si="32"/>
        <v>7.0999999999999828</v>
      </c>
      <c r="R153" s="8">
        <f t="shared" ca="1" si="33"/>
        <v>-4.8298160747628743E-2</v>
      </c>
      <c r="S153" s="8">
        <f t="shared" ca="1" si="34"/>
        <v>5.2756638904222086</v>
      </c>
      <c r="T153" s="8">
        <f t="shared" ca="1" si="35"/>
        <v>6.5294625594672171</v>
      </c>
    </row>
    <row r="154" spans="1:20" x14ac:dyDescent="0.25">
      <c r="A154" s="7">
        <f>A153+dt</f>
        <v>7.1499999999999826</v>
      </c>
      <c r="B154" s="8">
        <f t="shared" ca="1" si="24"/>
        <v>-3.7949084404847115E-2</v>
      </c>
      <c r="C154" s="8">
        <f ca="1">lambda*(a-B153)*dt</f>
        <v>4.8298160747628745E-3</v>
      </c>
      <c r="D154" s="8">
        <f ca="1">sigma*SQRT(dt)*_xlfn.NORM.S.INV(RAND())</f>
        <v>5.5192602680187528E-3</v>
      </c>
      <c r="E154" s="8">
        <f t="shared" ca="1" si="25"/>
        <v>1.0349076342781628E-2</v>
      </c>
      <c r="G154" s="8">
        <f t="shared" ca="1" si="26"/>
        <v>5.2836831506902273</v>
      </c>
      <c r="H154" s="8">
        <f>mu*dt</f>
        <v>2.5000000000000005E-3</v>
      </c>
      <c r="I154" s="8">
        <f t="shared" ca="1" si="27"/>
        <v>5.5192602680187528E-3</v>
      </c>
      <c r="J154" s="8">
        <f t="shared" ca="1" si="28"/>
        <v>8.0192602680187533E-3</v>
      </c>
      <c r="L154" s="8">
        <f t="shared" ca="1" si="29"/>
        <v>6.5818240191418687</v>
      </c>
      <c r="M154" s="8">
        <f ca="1">mu*L153*dt</f>
        <v>1.6323656398668045E-2</v>
      </c>
      <c r="N154" s="8">
        <f t="shared" ca="1" si="30"/>
        <v>3.6037803275983445E-2</v>
      </c>
      <c r="O154" s="8">
        <f t="shared" ca="1" si="31"/>
        <v>5.2361459674651487E-2</v>
      </c>
      <c r="Q154" s="7">
        <f t="shared" si="32"/>
        <v>7.1499999999999826</v>
      </c>
      <c r="R154" s="8">
        <f t="shared" ca="1" si="33"/>
        <v>-3.7949084404847115E-2</v>
      </c>
      <c r="S154" s="8">
        <f t="shared" ca="1" si="34"/>
        <v>5.2836831506902273</v>
      </c>
      <c r="T154" s="8">
        <f t="shared" ca="1" si="35"/>
        <v>6.5818240191418687</v>
      </c>
    </row>
    <row r="155" spans="1:20" x14ac:dyDescent="0.25">
      <c r="A155" s="7">
        <f>A154+dt</f>
        <v>7.1999999999999824</v>
      </c>
      <c r="B155" s="8">
        <f t="shared" ca="1" si="24"/>
        <v>-2.5648752324940648E-2</v>
      </c>
      <c r="C155" s="8">
        <f ca="1">lambda*(a-B154)*dt</f>
        <v>3.7949084404847117E-3</v>
      </c>
      <c r="D155" s="8">
        <f ca="1">sigma*SQRT(dt)*_xlfn.NORM.S.INV(RAND())</f>
        <v>8.5054236394217549E-3</v>
      </c>
      <c r="E155" s="8">
        <f t="shared" ca="1" si="25"/>
        <v>1.2300332079906467E-2</v>
      </c>
      <c r="G155" s="8">
        <f t="shared" ca="1" si="26"/>
        <v>5.2946885743296495</v>
      </c>
      <c r="H155" s="8">
        <f>mu*dt</f>
        <v>2.5000000000000005E-3</v>
      </c>
      <c r="I155" s="8">
        <f t="shared" ca="1" si="27"/>
        <v>8.5054236394217549E-3</v>
      </c>
      <c r="J155" s="8">
        <f t="shared" ca="1" si="28"/>
        <v>1.1005423639421755E-2</v>
      </c>
      <c r="L155" s="8">
        <f t="shared" ca="1" si="29"/>
        <v>6.6542597807926462</v>
      </c>
      <c r="M155" s="8">
        <f ca="1">mu*L154*dt</f>
        <v>1.6454560047854672E-2</v>
      </c>
      <c r="N155" s="8">
        <f t="shared" ca="1" si="30"/>
        <v>5.5981201602923157E-2</v>
      </c>
      <c r="O155" s="8">
        <f t="shared" ca="1" si="31"/>
        <v>7.2435761650777836E-2</v>
      </c>
      <c r="Q155" s="7">
        <f t="shared" si="32"/>
        <v>7.1999999999999824</v>
      </c>
      <c r="R155" s="8">
        <f t="shared" ca="1" si="33"/>
        <v>-2.5648752324940648E-2</v>
      </c>
      <c r="S155" s="8">
        <f t="shared" ca="1" si="34"/>
        <v>5.2946885743296495</v>
      </c>
      <c r="T155" s="8">
        <f t="shared" ca="1" si="35"/>
        <v>6.6542597807926462</v>
      </c>
    </row>
    <row r="156" spans="1:20" x14ac:dyDescent="0.25">
      <c r="A156" s="7">
        <f>A155+dt</f>
        <v>7.2499999999999822</v>
      </c>
      <c r="B156" s="8">
        <f t="shared" ca="1" si="24"/>
        <v>-2.0938141028955342E-2</v>
      </c>
      <c r="C156" s="8">
        <f ca="1">lambda*(a-B155)*dt</f>
        <v>2.5648752324940651E-3</v>
      </c>
      <c r="D156" s="8">
        <f ca="1">sigma*SQRT(dt)*_xlfn.NORM.S.INV(RAND())</f>
        <v>2.1457360634912414E-3</v>
      </c>
      <c r="E156" s="8">
        <f t="shared" ca="1" si="25"/>
        <v>4.7106112959853065E-3</v>
      </c>
      <c r="G156" s="8">
        <f t="shared" ca="1" si="26"/>
        <v>5.2993343103931405</v>
      </c>
      <c r="H156" s="8">
        <f>mu*dt</f>
        <v>2.5000000000000005E-3</v>
      </c>
      <c r="I156" s="8">
        <f t="shared" ca="1" si="27"/>
        <v>2.1457360634912414E-3</v>
      </c>
      <c r="J156" s="8">
        <f t="shared" ca="1" si="28"/>
        <v>4.6457360634912419E-3</v>
      </c>
      <c r="L156" s="8">
        <f t="shared" ca="1" si="29"/>
        <v>6.6851737154321142</v>
      </c>
      <c r="M156" s="8">
        <f ca="1">mu*L155*dt</f>
        <v>1.6635649451981618E-2</v>
      </c>
      <c r="N156" s="8">
        <f t="shared" ca="1" si="30"/>
        <v>1.4278285187486105E-2</v>
      </c>
      <c r="O156" s="8">
        <f t="shared" ca="1" si="31"/>
        <v>3.0913934639467722E-2</v>
      </c>
      <c r="Q156" s="7">
        <f t="shared" si="32"/>
        <v>7.2499999999999822</v>
      </c>
      <c r="R156" s="8">
        <f t="shared" ca="1" si="33"/>
        <v>-2.0938141028955342E-2</v>
      </c>
      <c r="S156" s="8">
        <f t="shared" ca="1" si="34"/>
        <v>5.2993343103931405</v>
      </c>
      <c r="T156" s="8">
        <f t="shared" ca="1" si="35"/>
        <v>6.6851737154321142</v>
      </c>
    </row>
    <row r="157" spans="1:20" x14ac:dyDescent="0.25">
      <c r="A157" s="7">
        <f>A156+dt</f>
        <v>7.2999999999999821</v>
      </c>
      <c r="B157" s="8">
        <f t="shared" ca="1" si="24"/>
        <v>-2.6944500492353574E-2</v>
      </c>
      <c r="C157" s="8">
        <f ca="1">lambda*(a-B156)*dt</f>
        <v>2.0938141028955344E-3</v>
      </c>
      <c r="D157" s="8">
        <f ca="1">sigma*SQRT(dt)*_xlfn.NORM.S.INV(RAND())</f>
        <v>-8.1001735662937675E-3</v>
      </c>
      <c r="E157" s="8">
        <f t="shared" ca="1" si="25"/>
        <v>-6.0063594633982332E-3</v>
      </c>
      <c r="G157" s="8">
        <f t="shared" ca="1" si="26"/>
        <v>5.2937341368268465</v>
      </c>
      <c r="H157" s="8">
        <f>mu*dt</f>
        <v>2.5000000000000005E-3</v>
      </c>
      <c r="I157" s="8">
        <f t="shared" ca="1" si="27"/>
        <v>-8.1001735662937675E-3</v>
      </c>
      <c r="J157" s="8">
        <f t="shared" ca="1" si="28"/>
        <v>-5.600173566293767E-3</v>
      </c>
      <c r="L157" s="8">
        <f t="shared" ca="1" si="29"/>
        <v>6.6477355823048692</v>
      </c>
      <c r="M157" s="8">
        <f ca="1">mu*L156*dt</f>
        <v>1.6712934288580287E-2</v>
      </c>
      <c r="N157" s="8">
        <f t="shared" ca="1" si="30"/>
        <v>-5.4151067415825108E-2</v>
      </c>
      <c r="O157" s="8">
        <f t="shared" ca="1" si="31"/>
        <v>-3.7438133127244824E-2</v>
      </c>
      <c r="Q157" s="7">
        <f t="shared" si="32"/>
        <v>7.2999999999999821</v>
      </c>
      <c r="R157" s="8">
        <f t="shared" ca="1" si="33"/>
        <v>-2.6944500492353574E-2</v>
      </c>
      <c r="S157" s="8">
        <f t="shared" ca="1" si="34"/>
        <v>5.2937341368268465</v>
      </c>
      <c r="T157" s="8">
        <f t="shared" ca="1" si="35"/>
        <v>6.6477355823048692</v>
      </c>
    </row>
    <row r="158" spans="1:20" x14ac:dyDescent="0.25">
      <c r="A158" s="7">
        <f>A157+dt</f>
        <v>7.3499999999999819</v>
      </c>
      <c r="B158" s="8">
        <f t="shared" ca="1" si="24"/>
        <v>-2.5907643383963414E-2</v>
      </c>
      <c r="C158" s="8">
        <f ca="1">lambda*(a-B157)*dt</f>
        <v>2.6944500492353577E-3</v>
      </c>
      <c r="D158" s="8">
        <f ca="1">sigma*SQRT(dt)*_xlfn.NORM.S.INV(RAND())</f>
        <v>-1.6575929408451961E-3</v>
      </c>
      <c r="E158" s="8">
        <f t="shared" ca="1" si="25"/>
        <v>1.0368571083901616E-3</v>
      </c>
      <c r="G158" s="8">
        <f t="shared" ca="1" si="26"/>
        <v>5.2945765438860013</v>
      </c>
      <c r="H158" s="8">
        <f>mu*dt</f>
        <v>2.5000000000000005E-3</v>
      </c>
      <c r="I158" s="8">
        <f t="shared" ca="1" si="27"/>
        <v>-1.6575929408451961E-3</v>
      </c>
      <c r="J158" s="8">
        <f t="shared" ca="1" si="28"/>
        <v>8.4240705915480441E-4</v>
      </c>
      <c r="L158" s="8">
        <f t="shared" ca="1" si="29"/>
        <v>6.653335681686797</v>
      </c>
      <c r="M158" s="8">
        <f ca="1">mu*L157*dt</f>
        <v>1.6619338955762175E-2</v>
      </c>
      <c r="N158" s="8">
        <f t="shared" ca="1" si="30"/>
        <v>-1.101923957383398E-2</v>
      </c>
      <c r="O158" s="8">
        <f t="shared" ca="1" si="31"/>
        <v>5.6000993819281947E-3</v>
      </c>
      <c r="Q158" s="7">
        <f t="shared" si="32"/>
        <v>7.3499999999999819</v>
      </c>
      <c r="R158" s="8">
        <f t="shared" ca="1" si="33"/>
        <v>-2.5907643383963414E-2</v>
      </c>
      <c r="S158" s="8">
        <f t="shared" ca="1" si="34"/>
        <v>5.2945765438860013</v>
      </c>
      <c r="T158" s="8">
        <f t="shared" ca="1" si="35"/>
        <v>6.653335681686797</v>
      </c>
    </row>
    <row r="159" spans="1:20" x14ac:dyDescent="0.25">
      <c r="A159" s="7">
        <f>A158+dt</f>
        <v>7.3999999999999817</v>
      </c>
      <c r="B159" s="8">
        <f t="shared" ca="1" si="24"/>
        <v>-1.8896049540469348E-2</v>
      </c>
      <c r="C159" s="8">
        <f ca="1">lambda*(a-B158)*dt</f>
        <v>2.5907643383963415E-3</v>
      </c>
      <c r="D159" s="8">
        <f ca="1">sigma*SQRT(dt)*_xlfn.NORM.S.INV(RAND())</f>
        <v>4.4208295050977252E-3</v>
      </c>
      <c r="E159" s="8">
        <f t="shared" ca="1" si="25"/>
        <v>7.0115938434940663E-3</v>
      </c>
      <c r="G159" s="8">
        <f t="shared" ca="1" si="26"/>
        <v>5.3014973733910988</v>
      </c>
      <c r="H159" s="8">
        <f>mu*dt</f>
        <v>2.5000000000000005E-3</v>
      </c>
      <c r="I159" s="8">
        <f t="shared" ca="1" si="27"/>
        <v>4.4208295050977252E-3</v>
      </c>
      <c r="J159" s="8">
        <f t="shared" ca="1" si="28"/>
        <v>6.9208295050977257E-3</v>
      </c>
      <c r="L159" s="8">
        <f t="shared" ca="1" si="29"/>
        <v>6.6993822835799346</v>
      </c>
      <c r="M159" s="8">
        <f ca="1">mu*L158*dt</f>
        <v>1.6633339204216994E-2</v>
      </c>
      <c r="N159" s="8">
        <f t="shared" ca="1" si="30"/>
        <v>2.9413262688920479E-2</v>
      </c>
      <c r="O159" s="8">
        <f t="shared" ca="1" si="31"/>
        <v>4.6046601893137473E-2</v>
      </c>
      <c r="Q159" s="7">
        <f t="shared" si="32"/>
        <v>7.3999999999999817</v>
      </c>
      <c r="R159" s="8">
        <f t="shared" ca="1" si="33"/>
        <v>-1.8896049540469348E-2</v>
      </c>
      <c r="S159" s="8">
        <f t="shared" ca="1" si="34"/>
        <v>5.3014973733910988</v>
      </c>
      <c r="T159" s="8">
        <f t="shared" ca="1" si="35"/>
        <v>6.6993822835799346</v>
      </c>
    </row>
    <row r="160" spans="1:20" x14ac:dyDescent="0.25">
      <c r="A160" s="7">
        <f>A159+dt</f>
        <v>7.4499999999999815</v>
      </c>
      <c r="B160" s="8">
        <f t="shared" ca="1" si="24"/>
        <v>-2.5174355793829949E-2</v>
      </c>
      <c r="C160" s="8">
        <f ca="1">lambda*(a-B159)*dt</f>
        <v>1.8896049540469348E-3</v>
      </c>
      <c r="D160" s="8">
        <f ca="1">sigma*SQRT(dt)*_xlfn.NORM.S.INV(RAND())</f>
        <v>-8.1679112074075355E-3</v>
      </c>
      <c r="E160" s="8">
        <f t="shared" ca="1" si="25"/>
        <v>-6.2783062533606007E-3</v>
      </c>
      <c r="G160" s="8">
        <f t="shared" ca="1" si="26"/>
        <v>5.2958294621836917</v>
      </c>
      <c r="H160" s="8">
        <f>mu*dt</f>
        <v>2.5000000000000005E-3</v>
      </c>
      <c r="I160" s="8">
        <f t="shared" ca="1" si="27"/>
        <v>-8.1679112074075355E-3</v>
      </c>
      <c r="J160" s="8">
        <f t="shared" ca="1" si="28"/>
        <v>-5.667911207407535E-3</v>
      </c>
      <c r="L160" s="8">
        <f t="shared" ca="1" si="29"/>
        <v>6.6614107796521242</v>
      </c>
      <c r="M160" s="8">
        <f ca="1">mu*L159*dt</f>
        <v>1.6748455708949839E-2</v>
      </c>
      <c r="N160" s="8">
        <f t="shared" ca="1" si="30"/>
        <v>-5.4719959636760039E-2</v>
      </c>
      <c r="O160" s="8">
        <f t="shared" ca="1" si="31"/>
        <v>-3.79715039278102E-2</v>
      </c>
      <c r="Q160" s="7">
        <f t="shared" si="32"/>
        <v>7.4499999999999815</v>
      </c>
      <c r="R160" s="8">
        <f t="shared" ca="1" si="33"/>
        <v>-2.5174355793829949E-2</v>
      </c>
      <c r="S160" s="8">
        <f t="shared" ca="1" si="34"/>
        <v>5.2958294621836917</v>
      </c>
      <c r="T160" s="8">
        <f t="shared" ca="1" si="35"/>
        <v>6.6614107796521242</v>
      </c>
    </row>
    <row r="161" spans="1:20" x14ac:dyDescent="0.25">
      <c r="A161" s="7">
        <f>A160+dt</f>
        <v>7.4999999999999813</v>
      </c>
      <c r="B161" s="8">
        <f t="shared" ca="1" si="24"/>
        <v>-2.1865629140890835E-2</v>
      </c>
      <c r="C161" s="8">
        <f ca="1">lambda*(a-B160)*dt</f>
        <v>2.5174355793829949E-3</v>
      </c>
      <c r="D161" s="8">
        <f ca="1">sigma*SQRT(dt)*_xlfn.NORM.S.INV(RAND())</f>
        <v>7.9129107355611883E-4</v>
      </c>
      <c r="E161" s="8">
        <f t="shared" ca="1" si="25"/>
        <v>3.3087266529391139E-3</v>
      </c>
      <c r="G161" s="8">
        <f t="shared" ca="1" si="26"/>
        <v>5.299120753257248</v>
      </c>
      <c r="H161" s="8">
        <f>mu*dt</f>
        <v>2.5000000000000005E-3</v>
      </c>
      <c r="I161" s="8">
        <f t="shared" ca="1" si="27"/>
        <v>7.9129107355611883E-4</v>
      </c>
      <c r="J161" s="8">
        <f t="shared" ca="1" si="28"/>
        <v>3.2912910735561195E-3</v>
      </c>
      <c r="L161" s="8">
        <f t="shared" ca="1" si="29"/>
        <v>6.6833354214884837</v>
      </c>
      <c r="M161" s="8">
        <f ca="1">mu*L160*dt</f>
        <v>1.6653526949130314E-2</v>
      </c>
      <c r="N161" s="8">
        <f t="shared" ca="1" si="30"/>
        <v>5.2711148872292323E-3</v>
      </c>
      <c r="O161" s="8">
        <f t="shared" ca="1" si="31"/>
        <v>2.1924641836359546E-2</v>
      </c>
      <c r="Q161" s="7">
        <f t="shared" si="32"/>
        <v>7.4999999999999813</v>
      </c>
      <c r="R161" s="8">
        <f t="shared" ca="1" si="33"/>
        <v>-2.1865629140890835E-2</v>
      </c>
      <c r="S161" s="8">
        <f t="shared" ca="1" si="34"/>
        <v>5.299120753257248</v>
      </c>
      <c r="T161" s="8">
        <f t="shared" ca="1" si="35"/>
        <v>6.6833354214884837</v>
      </c>
    </row>
    <row r="162" spans="1:20" x14ac:dyDescent="0.25">
      <c r="A162" s="7">
        <f>A161+dt</f>
        <v>7.5499999999999812</v>
      </c>
      <c r="B162" s="8">
        <f t="shared" ca="1" si="24"/>
        <v>-2.7297242893063341E-2</v>
      </c>
      <c r="C162" s="8">
        <f ca="1">lambda*(a-B161)*dt</f>
        <v>2.1865629140890835E-3</v>
      </c>
      <c r="D162" s="8">
        <f ca="1">sigma*SQRT(dt)*_xlfn.NORM.S.INV(RAND())</f>
        <v>-7.6181766662615892E-3</v>
      </c>
      <c r="E162" s="8">
        <f t="shared" ca="1" si="25"/>
        <v>-5.4316137521725058E-3</v>
      </c>
      <c r="G162" s="8">
        <f t="shared" ca="1" si="26"/>
        <v>5.2940025765909864</v>
      </c>
      <c r="H162" s="8">
        <f>mu*dt</f>
        <v>2.5000000000000005E-3</v>
      </c>
      <c r="I162" s="8">
        <f t="shared" ca="1" si="27"/>
        <v>-7.6181766662615892E-3</v>
      </c>
      <c r="J162" s="8">
        <f t="shared" ca="1" si="28"/>
        <v>-5.1181766662615888E-3</v>
      </c>
      <c r="L162" s="8">
        <f t="shared" ca="1" si="29"/>
        <v>6.6491289300814218</v>
      </c>
      <c r="M162" s="8">
        <f ca="1">mu*L161*dt</f>
        <v>1.6708338553721211E-2</v>
      </c>
      <c r="N162" s="8">
        <f t="shared" ca="1" si="30"/>
        <v>-5.0914829960783128E-2</v>
      </c>
      <c r="O162" s="8">
        <f t="shared" ca="1" si="31"/>
        <v>-3.4206491407061917E-2</v>
      </c>
      <c r="Q162" s="7">
        <f t="shared" si="32"/>
        <v>7.5499999999999812</v>
      </c>
      <c r="R162" s="8">
        <f t="shared" ca="1" si="33"/>
        <v>-2.7297242893063341E-2</v>
      </c>
      <c r="S162" s="8">
        <f t="shared" ca="1" si="34"/>
        <v>5.2940025765909864</v>
      </c>
      <c r="T162" s="8">
        <f t="shared" ca="1" si="35"/>
        <v>6.6491289300814218</v>
      </c>
    </row>
    <row r="163" spans="1:20" x14ac:dyDescent="0.25">
      <c r="A163" s="7">
        <f>A162+dt</f>
        <v>7.599999999999981</v>
      </c>
      <c r="B163" s="8">
        <f t="shared" ca="1" si="24"/>
        <v>-1.6434351185241617E-2</v>
      </c>
      <c r="C163" s="8">
        <f ca="1">lambda*(a-B162)*dt</f>
        <v>2.7297242893063343E-3</v>
      </c>
      <c r="D163" s="8">
        <f ca="1">sigma*SQRT(dt)*_xlfn.NORM.S.INV(RAND())</f>
        <v>8.1331674185153909E-3</v>
      </c>
      <c r="E163" s="8">
        <f t="shared" ca="1" si="25"/>
        <v>1.0862891707821724E-2</v>
      </c>
      <c r="G163" s="8">
        <f t="shared" ca="1" si="26"/>
        <v>5.3046357440095022</v>
      </c>
      <c r="H163" s="8">
        <f>mu*dt</f>
        <v>2.5000000000000005E-3</v>
      </c>
      <c r="I163" s="8">
        <f t="shared" ca="1" si="27"/>
        <v>8.1331674185153909E-3</v>
      </c>
      <c r="J163" s="8">
        <f t="shared" ca="1" si="28"/>
        <v>1.0633167418515391E-2</v>
      </c>
      <c r="L163" s="8">
        <f t="shared" ca="1" si="29"/>
        <v>6.7198302311822715</v>
      </c>
      <c r="M163" s="8">
        <f ca="1">mu*L162*dt</f>
        <v>1.6622822325203557E-2</v>
      </c>
      <c r="N163" s="8">
        <f t="shared" ca="1" si="30"/>
        <v>5.4078478775646317E-2</v>
      </c>
      <c r="O163" s="8">
        <f t="shared" ca="1" si="31"/>
        <v>7.0701301100849878E-2</v>
      </c>
      <c r="Q163" s="7">
        <f t="shared" si="32"/>
        <v>7.599999999999981</v>
      </c>
      <c r="R163" s="8">
        <f t="shared" ca="1" si="33"/>
        <v>-1.6434351185241617E-2</v>
      </c>
      <c r="S163" s="8">
        <f t="shared" ca="1" si="34"/>
        <v>5.3046357440095022</v>
      </c>
      <c r="T163" s="8">
        <f t="shared" ca="1" si="35"/>
        <v>6.7198302311822715</v>
      </c>
    </row>
    <row r="164" spans="1:20" x14ac:dyDescent="0.25">
      <c r="A164" s="7">
        <f>A163+dt</f>
        <v>7.6499999999999808</v>
      </c>
      <c r="B164" s="8">
        <f t="shared" ca="1" si="24"/>
        <v>-1.3309929593851629E-2</v>
      </c>
      <c r="C164" s="8">
        <f ca="1">lambda*(a-B163)*dt</f>
        <v>1.6434351185241618E-3</v>
      </c>
      <c r="D164" s="8">
        <f ca="1">sigma*SQRT(dt)*_xlfn.NORM.S.INV(RAND())</f>
        <v>1.4809864728658262E-3</v>
      </c>
      <c r="E164" s="8">
        <f t="shared" ca="1" si="25"/>
        <v>3.1244215913899878E-3</v>
      </c>
      <c r="G164" s="8">
        <f t="shared" ca="1" si="26"/>
        <v>5.3086167304823677</v>
      </c>
      <c r="H164" s="8">
        <f>mu*dt</f>
        <v>2.5000000000000005E-3</v>
      </c>
      <c r="I164" s="8">
        <f t="shared" ca="1" si="27"/>
        <v>1.4809864728658262E-3</v>
      </c>
      <c r="J164" s="8">
        <f t="shared" ca="1" si="28"/>
        <v>3.980986472865827E-3</v>
      </c>
      <c r="L164" s="8">
        <f t="shared" ca="1" si="29"/>
        <v>6.7465817844325633</v>
      </c>
      <c r="M164" s="8">
        <f ca="1">mu*L163*dt</f>
        <v>1.679957557795568E-2</v>
      </c>
      <c r="N164" s="8">
        <f t="shared" ca="1" si="30"/>
        <v>9.9519776723357815E-3</v>
      </c>
      <c r="O164" s="8">
        <f t="shared" ca="1" si="31"/>
        <v>2.6751553250291462E-2</v>
      </c>
      <c r="Q164" s="7">
        <f t="shared" si="32"/>
        <v>7.6499999999999808</v>
      </c>
      <c r="R164" s="8">
        <f t="shared" ca="1" si="33"/>
        <v>-1.3309929593851629E-2</v>
      </c>
      <c r="S164" s="8">
        <f t="shared" ca="1" si="34"/>
        <v>5.3086167304823677</v>
      </c>
      <c r="T164" s="8">
        <f t="shared" ca="1" si="35"/>
        <v>6.7465817844325633</v>
      </c>
    </row>
    <row r="165" spans="1:20" x14ac:dyDescent="0.25">
      <c r="A165" s="7">
        <f>A164+dt</f>
        <v>7.6999999999999806</v>
      </c>
      <c r="B165" s="8">
        <f t="shared" ca="1" si="24"/>
        <v>-1.9111749615470932E-2</v>
      </c>
      <c r="C165" s="8">
        <f ca="1">lambda*(a-B164)*dt</f>
        <v>1.3309929593851629E-3</v>
      </c>
      <c r="D165" s="8">
        <f ca="1">sigma*SQRT(dt)*_xlfn.NORM.S.INV(RAND())</f>
        <v>-7.1328129810044657E-3</v>
      </c>
      <c r="E165" s="8">
        <f t="shared" ca="1" si="25"/>
        <v>-5.8018200216193028E-3</v>
      </c>
      <c r="G165" s="8">
        <f t="shared" ca="1" si="26"/>
        <v>5.3039839175013634</v>
      </c>
      <c r="H165" s="8">
        <f>mu*dt</f>
        <v>2.5000000000000005E-3</v>
      </c>
      <c r="I165" s="8">
        <f t="shared" ca="1" si="27"/>
        <v>-7.1328129810044657E-3</v>
      </c>
      <c r="J165" s="8">
        <f t="shared" ca="1" si="28"/>
        <v>-4.6328129810044652E-3</v>
      </c>
      <c r="L165" s="8">
        <f t="shared" ca="1" si="29"/>
        <v>6.7153261327642362</v>
      </c>
      <c r="M165" s="8">
        <f ca="1">mu*L164*dt</f>
        <v>1.6866454461081409E-2</v>
      </c>
      <c r="N165" s="8">
        <f t="shared" ca="1" si="30"/>
        <v>-4.8122106129408856E-2</v>
      </c>
      <c r="O165" s="8">
        <f t="shared" ca="1" si="31"/>
        <v>-3.1255651668327444E-2</v>
      </c>
      <c r="Q165" s="7">
        <f t="shared" si="32"/>
        <v>7.6999999999999806</v>
      </c>
      <c r="R165" s="8">
        <f t="shared" ca="1" si="33"/>
        <v>-1.9111749615470932E-2</v>
      </c>
      <c r="S165" s="8">
        <f t="shared" ca="1" si="34"/>
        <v>5.3039839175013634</v>
      </c>
      <c r="T165" s="8">
        <f t="shared" ca="1" si="35"/>
        <v>6.7153261327642362</v>
      </c>
    </row>
    <row r="166" spans="1:20" x14ac:dyDescent="0.25">
      <c r="A166" s="7">
        <f>A165+dt</f>
        <v>7.7499999999999805</v>
      </c>
      <c r="B166" s="8">
        <f t="shared" ca="1" si="24"/>
        <v>-2.8010177903928315E-2</v>
      </c>
      <c r="C166" s="8">
        <f ca="1">lambda*(a-B165)*dt</f>
        <v>1.9111749615470933E-3</v>
      </c>
      <c r="D166" s="8">
        <f ca="1">sigma*SQRT(dt)*_xlfn.NORM.S.INV(RAND())</f>
        <v>-1.0809603250004476E-2</v>
      </c>
      <c r="E166" s="8">
        <f t="shared" ca="1" si="25"/>
        <v>-8.8984282884573829E-3</v>
      </c>
      <c r="G166" s="8">
        <f t="shared" ca="1" si="26"/>
        <v>5.2956743142513591</v>
      </c>
      <c r="H166" s="8">
        <f>mu*dt</f>
        <v>2.5000000000000005E-3</v>
      </c>
      <c r="I166" s="8">
        <f t="shared" ca="1" si="27"/>
        <v>-1.0809603250004476E-2</v>
      </c>
      <c r="J166" s="8">
        <f t="shared" ca="1" si="28"/>
        <v>-8.3096032500044759E-3</v>
      </c>
      <c r="L166" s="8">
        <f t="shared" ca="1" si="29"/>
        <v>6.6595244369065787</v>
      </c>
      <c r="M166" s="8">
        <f ca="1">mu*L165*dt</f>
        <v>1.6788315331910591E-2</v>
      </c>
      <c r="N166" s="8">
        <f t="shared" ca="1" si="30"/>
        <v>-7.2590011189568274E-2</v>
      </c>
      <c r="O166" s="8">
        <f t="shared" ca="1" si="31"/>
        <v>-5.5801695857657679E-2</v>
      </c>
      <c r="Q166" s="7">
        <f t="shared" si="32"/>
        <v>7.7499999999999805</v>
      </c>
      <c r="R166" s="8">
        <f t="shared" ca="1" si="33"/>
        <v>-2.8010177903928315E-2</v>
      </c>
      <c r="S166" s="8">
        <f t="shared" ca="1" si="34"/>
        <v>5.2956743142513591</v>
      </c>
      <c r="T166" s="8">
        <f t="shared" ca="1" si="35"/>
        <v>6.6595244369065787</v>
      </c>
    </row>
    <row r="167" spans="1:20" x14ac:dyDescent="0.25">
      <c r="A167" s="7">
        <f>A166+dt</f>
        <v>7.7999999999999803</v>
      </c>
      <c r="B167" s="8">
        <f t="shared" ca="1" si="24"/>
        <v>-2.3974779774431021E-2</v>
      </c>
      <c r="C167" s="8">
        <f ca="1">lambda*(a-B166)*dt</f>
        <v>2.8010177903928317E-3</v>
      </c>
      <c r="D167" s="8">
        <f ca="1">sigma*SQRT(dt)*_xlfn.NORM.S.INV(RAND())</f>
        <v>1.2343803391044606E-3</v>
      </c>
      <c r="E167" s="8">
        <f t="shared" ca="1" si="25"/>
        <v>4.0353981294972922E-3</v>
      </c>
      <c r="G167" s="8">
        <f t="shared" ca="1" si="26"/>
        <v>5.2994086945904639</v>
      </c>
      <c r="H167" s="8">
        <f>mu*dt</f>
        <v>2.5000000000000005E-3</v>
      </c>
      <c r="I167" s="8">
        <f t="shared" ca="1" si="27"/>
        <v>1.2343803391044606E-3</v>
      </c>
      <c r="J167" s="8">
        <f t="shared" ca="1" si="28"/>
        <v>3.7343803391044613E-3</v>
      </c>
      <c r="L167" s="8">
        <f t="shared" ca="1" si="29"/>
        <v>6.6843936340315482</v>
      </c>
      <c r="M167" s="8">
        <f ca="1">mu*L166*dt</f>
        <v>1.6648811092266447E-2</v>
      </c>
      <c r="N167" s="8">
        <f t="shared" ca="1" si="30"/>
        <v>8.2203860327031853E-3</v>
      </c>
      <c r="O167" s="8">
        <f t="shared" ca="1" si="31"/>
        <v>2.4869197124969634E-2</v>
      </c>
      <c r="Q167" s="7">
        <f t="shared" si="32"/>
        <v>7.7999999999999803</v>
      </c>
      <c r="R167" s="8">
        <f t="shared" ca="1" si="33"/>
        <v>-2.3974779774431021E-2</v>
      </c>
      <c r="S167" s="8">
        <f t="shared" ca="1" si="34"/>
        <v>5.2994086945904639</v>
      </c>
      <c r="T167" s="8">
        <f t="shared" ca="1" si="35"/>
        <v>6.6843936340315482</v>
      </c>
    </row>
    <row r="168" spans="1:20" x14ac:dyDescent="0.25">
      <c r="A168" s="7">
        <f>A167+dt</f>
        <v>7.8499999999999801</v>
      </c>
      <c r="B168" s="8">
        <f t="shared" ca="1" si="24"/>
        <v>-1.4761109294229469E-2</v>
      </c>
      <c r="C168" s="8">
        <f ca="1">lambda*(a-B167)*dt</f>
        <v>2.3974779774431024E-3</v>
      </c>
      <c r="D168" s="8">
        <f ca="1">sigma*SQRT(dt)*_xlfn.NORM.S.INV(RAND())</f>
        <v>6.8161925027584499E-3</v>
      </c>
      <c r="E168" s="8">
        <f t="shared" ca="1" si="25"/>
        <v>9.2136704802015523E-3</v>
      </c>
      <c r="G168" s="8">
        <f t="shared" ca="1" si="26"/>
        <v>5.3087248870932227</v>
      </c>
      <c r="H168" s="8">
        <f>mu*dt</f>
        <v>2.5000000000000005E-3</v>
      </c>
      <c r="I168" s="8">
        <f t="shared" ca="1" si="27"/>
        <v>6.8161925027584499E-3</v>
      </c>
      <c r="J168" s="8">
        <f t="shared" ca="1" si="28"/>
        <v>9.3161925027584504E-3</v>
      </c>
      <c r="L168" s="8">
        <f t="shared" ca="1" si="29"/>
        <v>6.7466667318903992</v>
      </c>
      <c r="M168" s="8">
        <f ca="1">mu*L167*dt</f>
        <v>1.6710984085078873E-2</v>
      </c>
      <c r="N168" s="8">
        <f t="shared" ca="1" si="30"/>
        <v>4.5562113773772145E-2</v>
      </c>
      <c r="O168" s="8">
        <f t="shared" ca="1" si="31"/>
        <v>6.2273097858851018E-2</v>
      </c>
      <c r="Q168" s="7">
        <f t="shared" si="32"/>
        <v>7.8499999999999801</v>
      </c>
      <c r="R168" s="8">
        <f t="shared" ca="1" si="33"/>
        <v>-1.4761109294229469E-2</v>
      </c>
      <c r="S168" s="8">
        <f t="shared" ca="1" si="34"/>
        <v>5.3087248870932227</v>
      </c>
      <c r="T168" s="8">
        <f t="shared" ca="1" si="35"/>
        <v>6.7466667318903992</v>
      </c>
    </row>
    <row r="169" spans="1:20" x14ac:dyDescent="0.25">
      <c r="A169" s="7">
        <f>A168+dt</f>
        <v>7.8999999999999799</v>
      </c>
      <c r="B169" s="8">
        <f t="shared" ca="1" si="24"/>
        <v>-2.2397151685391536E-2</v>
      </c>
      <c r="C169" s="8">
        <f ca="1">lambda*(a-B168)*dt</f>
        <v>1.4761109294229469E-3</v>
      </c>
      <c r="D169" s="8">
        <f ca="1">sigma*SQRT(dt)*_xlfn.NORM.S.INV(RAND())</f>
        <v>-9.112153320585013E-3</v>
      </c>
      <c r="E169" s="8">
        <f t="shared" ca="1" si="25"/>
        <v>-7.6360423911620663E-3</v>
      </c>
      <c r="G169" s="8">
        <f t="shared" ca="1" si="26"/>
        <v>5.3021127337726375</v>
      </c>
      <c r="H169" s="8">
        <f>mu*dt</f>
        <v>2.5000000000000005E-3</v>
      </c>
      <c r="I169" s="8">
        <f t="shared" ca="1" si="27"/>
        <v>-9.112153320585013E-3</v>
      </c>
      <c r="J169" s="8">
        <f t="shared" ca="1" si="28"/>
        <v>-6.6121533205850125E-3</v>
      </c>
      <c r="L169" s="8">
        <f t="shared" ca="1" si="29"/>
        <v>6.7020567370562496</v>
      </c>
      <c r="M169" s="8">
        <f ca="1">mu*L168*dt</f>
        <v>1.6866666829725999E-2</v>
      </c>
      <c r="N169" s="8">
        <f t="shared" ca="1" si="30"/>
        <v>-6.147666166387554E-2</v>
      </c>
      <c r="O169" s="8">
        <f t="shared" ca="1" si="31"/>
        <v>-4.4609994834149541E-2</v>
      </c>
      <c r="Q169" s="7">
        <f t="shared" si="32"/>
        <v>7.8999999999999799</v>
      </c>
      <c r="R169" s="8">
        <f t="shared" ca="1" si="33"/>
        <v>-2.2397151685391536E-2</v>
      </c>
      <c r="S169" s="8">
        <f t="shared" ca="1" si="34"/>
        <v>5.3021127337726375</v>
      </c>
      <c r="T169" s="8">
        <f t="shared" ca="1" si="35"/>
        <v>6.7020567370562496</v>
      </c>
    </row>
    <row r="170" spans="1:20" x14ac:dyDescent="0.25">
      <c r="A170" s="7">
        <f>A169+dt</f>
        <v>7.9499999999999797</v>
      </c>
      <c r="B170" s="8">
        <f t="shared" ca="1" si="24"/>
        <v>-3.576137066250383E-2</v>
      </c>
      <c r="C170" s="8">
        <f ca="1">lambda*(a-B169)*dt</f>
        <v>2.2397151685391537E-3</v>
      </c>
      <c r="D170" s="8">
        <f ca="1">sigma*SQRT(dt)*_xlfn.NORM.S.INV(RAND())</f>
        <v>-1.5603934145651447E-2</v>
      </c>
      <c r="E170" s="8">
        <f t="shared" ca="1" si="25"/>
        <v>-1.3364218977112294E-2</v>
      </c>
      <c r="G170" s="8">
        <f t="shared" ca="1" si="26"/>
        <v>5.2890087996269859</v>
      </c>
      <c r="H170" s="8">
        <f>mu*dt</f>
        <v>2.5000000000000005E-3</v>
      </c>
      <c r="I170" s="8">
        <f t="shared" ca="1" si="27"/>
        <v>-1.5603934145651447E-2</v>
      </c>
      <c r="J170" s="8">
        <f t="shared" ca="1" si="28"/>
        <v>-1.3103934145651447E-2</v>
      </c>
      <c r="L170" s="8">
        <f t="shared" ca="1" si="29"/>
        <v>6.6142334269334446</v>
      </c>
      <c r="M170" s="8">
        <f ca="1">mu*L169*dt</f>
        <v>1.6755141842640625E-2</v>
      </c>
      <c r="N170" s="8">
        <f t="shared" ca="1" si="30"/>
        <v>-0.10457845196544534</v>
      </c>
      <c r="O170" s="8">
        <f t="shared" ca="1" si="31"/>
        <v>-8.7823310122804712E-2</v>
      </c>
      <c r="Q170" s="7">
        <f t="shared" si="32"/>
        <v>7.9499999999999797</v>
      </c>
      <c r="R170" s="8">
        <f t="shared" ca="1" si="33"/>
        <v>-3.576137066250383E-2</v>
      </c>
      <c r="S170" s="8">
        <f t="shared" ca="1" si="34"/>
        <v>5.2890087996269859</v>
      </c>
      <c r="T170" s="8">
        <f t="shared" ca="1" si="35"/>
        <v>6.6142334269334446</v>
      </c>
    </row>
    <row r="171" spans="1:20" x14ac:dyDescent="0.25">
      <c r="A171" s="7">
        <f>A170+dt</f>
        <v>7.9999999999999796</v>
      </c>
      <c r="B171" s="8">
        <f t="shared" ca="1" si="24"/>
        <v>-3.443768478526274E-2</v>
      </c>
      <c r="C171" s="8">
        <f ca="1">lambda*(a-B170)*dt</f>
        <v>3.5761370662503833E-3</v>
      </c>
      <c r="D171" s="8">
        <f ca="1">sigma*SQRT(dt)*_xlfn.NORM.S.INV(RAND())</f>
        <v>-2.252451189009296E-3</v>
      </c>
      <c r="E171" s="8">
        <f t="shared" ca="1" si="25"/>
        <v>1.3236858772410873E-3</v>
      </c>
      <c r="G171" s="8">
        <f t="shared" ca="1" si="26"/>
        <v>5.2892563484379762</v>
      </c>
      <c r="H171" s="8">
        <f>mu*dt</f>
        <v>2.5000000000000005E-3</v>
      </c>
      <c r="I171" s="8">
        <f t="shared" ca="1" si="27"/>
        <v>-2.252451189009296E-3</v>
      </c>
      <c r="J171" s="8">
        <f t="shared" ca="1" si="28"/>
        <v>2.4754881099070449E-4</v>
      </c>
      <c r="L171" s="8">
        <f t="shared" ca="1" si="29"/>
        <v>6.6158707725538966</v>
      </c>
      <c r="M171" s="8">
        <f ca="1">mu*L170*dt</f>
        <v>1.6535583567333614E-2</v>
      </c>
      <c r="N171" s="8">
        <f t="shared" ca="1" si="30"/>
        <v>-1.4898237946881268E-2</v>
      </c>
      <c r="O171" s="8">
        <f t="shared" ca="1" si="31"/>
        <v>1.6373456204523459E-3</v>
      </c>
      <c r="Q171" s="7">
        <f t="shared" si="32"/>
        <v>7.9999999999999796</v>
      </c>
      <c r="R171" s="8">
        <f t="shared" ca="1" si="33"/>
        <v>-3.443768478526274E-2</v>
      </c>
      <c r="S171" s="8">
        <f t="shared" ca="1" si="34"/>
        <v>5.2892563484379762</v>
      </c>
      <c r="T171" s="8">
        <f t="shared" ca="1" si="35"/>
        <v>6.6158707725538966</v>
      </c>
    </row>
    <row r="172" spans="1:20" x14ac:dyDescent="0.25">
      <c r="A172" s="7">
        <f>A171+dt</f>
        <v>8.0499999999999794</v>
      </c>
      <c r="B172" s="8">
        <f t="shared" ca="1" si="24"/>
        <v>-3.4949511066889628E-2</v>
      </c>
      <c r="C172" s="8">
        <f ca="1">lambda*(a-B171)*dt</f>
        <v>3.443768478526274E-3</v>
      </c>
      <c r="D172" s="8">
        <f ca="1">sigma*SQRT(dt)*_xlfn.NORM.S.INV(RAND())</f>
        <v>-3.9555947601531624E-3</v>
      </c>
      <c r="E172" s="8">
        <f t="shared" ca="1" si="25"/>
        <v>-5.1182628162688842E-4</v>
      </c>
      <c r="G172" s="8">
        <f t="shared" ca="1" si="26"/>
        <v>5.2878007536778231</v>
      </c>
      <c r="H172" s="8">
        <f>mu*dt</f>
        <v>2.5000000000000005E-3</v>
      </c>
      <c r="I172" s="8">
        <f t="shared" ca="1" si="27"/>
        <v>-3.9555947601531624E-3</v>
      </c>
      <c r="J172" s="8">
        <f t="shared" ca="1" si="28"/>
        <v>-1.4555947601531619E-3</v>
      </c>
      <c r="L172" s="8">
        <f t="shared" ca="1" si="29"/>
        <v>6.6062407457235164</v>
      </c>
      <c r="M172" s="8">
        <f ca="1">mu*L171*dt</f>
        <v>1.6539676931384743E-2</v>
      </c>
      <c r="N172" s="8">
        <f t="shared" ca="1" si="30"/>
        <v>-2.6169703761764647E-2</v>
      </c>
      <c r="O172" s="8">
        <f t="shared" ca="1" si="31"/>
        <v>-9.6300268303799036E-3</v>
      </c>
      <c r="Q172" s="7">
        <f t="shared" si="32"/>
        <v>8.0499999999999794</v>
      </c>
      <c r="R172" s="8">
        <f t="shared" ca="1" si="33"/>
        <v>-3.4949511066889628E-2</v>
      </c>
      <c r="S172" s="8">
        <f t="shared" ca="1" si="34"/>
        <v>5.2878007536778231</v>
      </c>
      <c r="T172" s="8">
        <f t="shared" ca="1" si="35"/>
        <v>6.6062407457235164</v>
      </c>
    </row>
    <row r="173" spans="1:20" x14ac:dyDescent="0.25">
      <c r="A173" s="7">
        <f>A172+dt</f>
        <v>8.0999999999999801</v>
      </c>
      <c r="B173" s="8">
        <f t="shared" ca="1" si="24"/>
        <v>-2.2812135880136267E-2</v>
      </c>
      <c r="C173" s="8">
        <f ca="1">lambda*(a-B172)*dt</f>
        <v>3.4949511066889628E-3</v>
      </c>
      <c r="D173" s="8">
        <f ca="1">sigma*SQRT(dt)*_xlfn.NORM.S.INV(RAND())</f>
        <v>8.6424240800643988E-3</v>
      </c>
      <c r="E173" s="8">
        <f t="shared" ca="1" si="25"/>
        <v>1.2137375186753362E-2</v>
      </c>
      <c r="G173" s="8">
        <f t="shared" ca="1" si="26"/>
        <v>5.2989431777578879</v>
      </c>
      <c r="H173" s="8">
        <f>mu*dt</f>
        <v>2.5000000000000005E-3</v>
      </c>
      <c r="I173" s="8">
        <f t="shared" ca="1" si="27"/>
        <v>8.6424240800643988E-3</v>
      </c>
      <c r="J173" s="8">
        <f t="shared" ca="1" si="28"/>
        <v>1.1142424080064399E-2</v>
      </c>
      <c r="L173" s="8">
        <f t="shared" ca="1" si="29"/>
        <v>6.6798502816873686</v>
      </c>
      <c r="M173" s="8">
        <f ca="1">mu*L172*dt</f>
        <v>1.6515601864308792E-2</v>
      </c>
      <c r="N173" s="8">
        <f t="shared" ca="1" si="30"/>
        <v>5.7093934099543511E-2</v>
      </c>
      <c r="O173" s="8">
        <f t="shared" ca="1" si="31"/>
        <v>7.3609535963852307E-2</v>
      </c>
      <c r="Q173" s="7">
        <f t="shared" si="32"/>
        <v>8.0999999999999801</v>
      </c>
      <c r="R173" s="8">
        <f t="shared" ca="1" si="33"/>
        <v>-2.2812135880136267E-2</v>
      </c>
      <c r="S173" s="8">
        <f t="shared" ca="1" si="34"/>
        <v>5.2989431777578879</v>
      </c>
      <c r="T173" s="8">
        <f t="shared" ca="1" si="35"/>
        <v>6.6798502816873686</v>
      </c>
    </row>
    <row r="174" spans="1:20" x14ac:dyDescent="0.25">
      <c r="A174" s="7">
        <f>A173+dt</f>
        <v>8.1499999999999808</v>
      </c>
      <c r="B174" s="8">
        <f t="shared" ca="1" si="24"/>
        <v>-1.7810707948308961E-2</v>
      </c>
      <c r="C174" s="8">
        <f ca="1">lambda*(a-B173)*dt</f>
        <v>2.2812135880136268E-3</v>
      </c>
      <c r="D174" s="8">
        <f ca="1">sigma*SQRT(dt)*_xlfn.NORM.S.INV(RAND())</f>
        <v>2.7202143438136766E-3</v>
      </c>
      <c r="E174" s="8">
        <f t="shared" ca="1" si="25"/>
        <v>5.0014279318273038E-3</v>
      </c>
      <c r="G174" s="8">
        <f t="shared" ca="1" si="26"/>
        <v>5.3041633921017013</v>
      </c>
      <c r="H174" s="8">
        <f>mu*dt</f>
        <v>2.5000000000000005E-3</v>
      </c>
      <c r="I174" s="8">
        <f t="shared" ca="1" si="27"/>
        <v>2.7202143438136766E-3</v>
      </c>
      <c r="J174" s="8">
        <f t="shared" ca="1" si="28"/>
        <v>5.2202143438136771E-3</v>
      </c>
      <c r="L174" s="8">
        <f t="shared" ca="1" si="29"/>
        <v>6.7147205319423611</v>
      </c>
      <c r="M174" s="8">
        <f ca="1">mu*L173*dt</f>
        <v>1.6699625704218426E-2</v>
      </c>
      <c r="N174" s="8">
        <f t="shared" ca="1" si="30"/>
        <v>1.8170624550773808E-2</v>
      </c>
      <c r="O174" s="8">
        <f t="shared" ca="1" si="31"/>
        <v>3.4870250254992234E-2</v>
      </c>
      <c r="Q174" s="7">
        <f t="shared" si="32"/>
        <v>8.1499999999999808</v>
      </c>
      <c r="R174" s="8">
        <f t="shared" ca="1" si="33"/>
        <v>-1.7810707948308961E-2</v>
      </c>
      <c r="S174" s="8">
        <f t="shared" ca="1" si="34"/>
        <v>5.3041633921017013</v>
      </c>
      <c r="T174" s="8">
        <f t="shared" ca="1" si="35"/>
        <v>6.7147205319423611</v>
      </c>
    </row>
    <row r="175" spans="1:20" x14ac:dyDescent="0.25">
      <c r="A175" s="7">
        <f>A174+dt</f>
        <v>8.1999999999999815</v>
      </c>
      <c r="B175" s="8">
        <f t="shared" ca="1" si="24"/>
        <v>-1.5452124260319914E-2</v>
      </c>
      <c r="C175" s="8">
        <f ca="1">lambda*(a-B174)*dt</f>
        <v>1.7810707948308962E-3</v>
      </c>
      <c r="D175" s="8">
        <f ca="1">sigma*SQRT(dt)*_xlfn.NORM.S.INV(RAND())</f>
        <v>5.7751289315815027E-4</v>
      </c>
      <c r="E175" s="8">
        <f t="shared" ca="1" si="25"/>
        <v>2.3585836879890464E-3</v>
      </c>
      <c r="G175" s="8">
        <f t="shared" ca="1" si="26"/>
        <v>5.3072409049948597</v>
      </c>
      <c r="H175" s="8">
        <f>mu*dt</f>
        <v>2.5000000000000005E-3</v>
      </c>
      <c r="I175" s="8">
        <f t="shared" ca="1" si="27"/>
        <v>5.7751289315815027E-4</v>
      </c>
      <c r="J175" s="8">
        <f t="shared" ca="1" si="28"/>
        <v>3.0775128931581509E-3</v>
      </c>
      <c r="L175" s="8">
        <f t="shared" ca="1" si="29"/>
        <v>6.7353851709533679</v>
      </c>
      <c r="M175" s="8">
        <f ca="1">mu*L174*dt</f>
        <v>1.6786801329855907E-2</v>
      </c>
      <c r="N175" s="8">
        <f t="shared" ca="1" si="30"/>
        <v>3.8778376811504666E-3</v>
      </c>
      <c r="O175" s="8">
        <f t="shared" ca="1" si="31"/>
        <v>2.0664639011006375E-2</v>
      </c>
      <c r="Q175" s="7">
        <f t="shared" si="32"/>
        <v>8.1999999999999815</v>
      </c>
      <c r="R175" s="8">
        <f t="shared" ca="1" si="33"/>
        <v>-1.5452124260319914E-2</v>
      </c>
      <c r="S175" s="8">
        <f t="shared" ca="1" si="34"/>
        <v>5.3072409049948597</v>
      </c>
      <c r="T175" s="8">
        <f t="shared" ca="1" si="35"/>
        <v>6.7353851709533679</v>
      </c>
    </row>
    <row r="176" spans="1:20" x14ac:dyDescent="0.25">
      <c r="A176" s="7">
        <f>A175+dt</f>
        <v>8.2499999999999822</v>
      </c>
      <c r="B176" s="8">
        <f t="shared" ca="1" si="24"/>
        <v>-2.3922437225478547E-2</v>
      </c>
      <c r="C176" s="8">
        <f ca="1">lambda*(a-B175)*dt</f>
        <v>1.5452124260319916E-3</v>
      </c>
      <c r="D176" s="8">
        <f ca="1">sigma*SQRT(dt)*_xlfn.NORM.S.INV(RAND())</f>
        <v>-1.0015525391190624E-2</v>
      </c>
      <c r="E176" s="8">
        <f t="shared" ca="1" si="25"/>
        <v>-8.4703129651586325E-3</v>
      </c>
      <c r="G176" s="8">
        <f t="shared" ca="1" si="26"/>
        <v>5.299725379603669</v>
      </c>
      <c r="H176" s="8">
        <f>mu*dt</f>
        <v>2.5000000000000005E-3</v>
      </c>
      <c r="I176" s="8">
        <f t="shared" ca="1" si="27"/>
        <v>-1.0015525391190624E-2</v>
      </c>
      <c r="J176" s="8">
        <f t="shared" ca="1" si="28"/>
        <v>-7.5155253911906236E-3</v>
      </c>
      <c r="L176" s="8">
        <f t="shared" ca="1" si="29"/>
        <v>6.6847652126816186</v>
      </c>
      <c r="M176" s="8">
        <f ca="1">mu*L175*dt</f>
        <v>1.6838462927383422E-2</v>
      </c>
      <c r="N176" s="8">
        <f t="shared" ca="1" si="30"/>
        <v>-6.7458421199132257E-2</v>
      </c>
      <c r="O176" s="8">
        <f t="shared" ca="1" si="31"/>
        <v>-5.0619958271748838E-2</v>
      </c>
      <c r="Q176" s="7">
        <f t="shared" si="32"/>
        <v>8.2499999999999822</v>
      </c>
      <c r="R176" s="8">
        <f t="shared" ca="1" si="33"/>
        <v>-2.3922437225478547E-2</v>
      </c>
      <c r="S176" s="8">
        <f t="shared" ca="1" si="34"/>
        <v>5.299725379603669</v>
      </c>
      <c r="T176" s="8">
        <f t="shared" ca="1" si="35"/>
        <v>6.6847652126816186</v>
      </c>
    </row>
    <row r="177" spans="1:20" x14ac:dyDescent="0.25">
      <c r="A177" s="7">
        <f>A176+dt</f>
        <v>8.2999999999999829</v>
      </c>
      <c r="B177" s="8">
        <f t="shared" ca="1" si="24"/>
        <v>-2.6602774783646446E-2</v>
      </c>
      <c r="C177" s="8">
        <f ca="1">lambda*(a-B176)*dt</f>
        <v>2.3922437225478549E-3</v>
      </c>
      <c r="D177" s="8">
        <f ca="1">sigma*SQRT(dt)*_xlfn.NORM.S.INV(RAND())</f>
        <v>-5.0725812807157532E-3</v>
      </c>
      <c r="E177" s="8">
        <f t="shared" ca="1" si="25"/>
        <v>-2.6803375581678983E-3</v>
      </c>
      <c r="G177" s="8">
        <f t="shared" ca="1" si="26"/>
        <v>5.2971527983229532</v>
      </c>
      <c r="H177" s="8">
        <f>mu*dt</f>
        <v>2.5000000000000005E-3</v>
      </c>
      <c r="I177" s="8">
        <f t="shared" ca="1" si="27"/>
        <v>-5.0725812807157532E-3</v>
      </c>
      <c r="J177" s="8">
        <f t="shared" ca="1" si="28"/>
        <v>-2.5725812807157527E-3</v>
      </c>
      <c r="L177" s="8">
        <f t="shared" ca="1" si="29"/>
        <v>6.6675681108294942</v>
      </c>
      <c r="M177" s="8">
        <f ca="1">mu*L176*dt</f>
        <v>1.6711913031704047E-2</v>
      </c>
      <c r="N177" s="8">
        <f t="shared" ca="1" si="30"/>
        <v>-3.3909014883828636E-2</v>
      </c>
      <c r="O177" s="8">
        <f t="shared" ca="1" si="31"/>
        <v>-1.7197101852124589E-2</v>
      </c>
      <c r="Q177" s="7">
        <f t="shared" si="32"/>
        <v>8.2999999999999829</v>
      </c>
      <c r="R177" s="8">
        <f t="shared" ca="1" si="33"/>
        <v>-2.6602774783646446E-2</v>
      </c>
      <c r="S177" s="8">
        <f t="shared" ca="1" si="34"/>
        <v>5.2971527983229532</v>
      </c>
      <c r="T177" s="8">
        <f t="shared" ca="1" si="35"/>
        <v>6.6675681108294942</v>
      </c>
    </row>
    <row r="178" spans="1:20" x14ac:dyDescent="0.25">
      <c r="A178" s="7">
        <f>A177+dt</f>
        <v>8.3499999999999837</v>
      </c>
      <c r="B178" s="8">
        <f t="shared" ca="1" si="24"/>
        <v>-3.8595571986387862E-2</v>
      </c>
      <c r="C178" s="8">
        <f ca="1">lambda*(a-B177)*dt</f>
        <v>2.6602774783646447E-3</v>
      </c>
      <c r="D178" s="8">
        <f ca="1">sigma*SQRT(dt)*_xlfn.NORM.S.INV(RAND())</f>
        <v>-1.4653074681106061E-2</v>
      </c>
      <c r="E178" s="8">
        <f t="shared" ca="1" si="25"/>
        <v>-1.1992797202741417E-2</v>
      </c>
      <c r="G178" s="8">
        <f t="shared" ca="1" si="26"/>
        <v>5.2849997236418469</v>
      </c>
      <c r="H178" s="8">
        <f>mu*dt</f>
        <v>2.5000000000000005E-3</v>
      </c>
      <c r="I178" s="8">
        <f t="shared" ca="1" si="27"/>
        <v>-1.4653074681106061E-2</v>
      </c>
      <c r="J178" s="8">
        <f t="shared" ca="1" si="28"/>
        <v>-1.215307468110606E-2</v>
      </c>
      <c r="L178" s="8">
        <f t="shared" ca="1" si="29"/>
        <v>6.5865366576372217</v>
      </c>
      <c r="M178" s="8">
        <f ca="1">mu*L177*dt</f>
        <v>1.6668920277073739E-2</v>
      </c>
      <c r="N178" s="8">
        <f t="shared" ca="1" si="30"/>
        <v>-9.7700373469345833E-2</v>
      </c>
      <c r="O178" s="8">
        <f t="shared" ca="1" si="31"/>
        <v>-8.103145319227209E-2</v>
      </c>
      <c r="Q178" s="7">
        <f t="shared" si="32"/>
        <v>8.3499999999999837</v>
      </c>
      <c r="R178" s="8">
        <f t="shared" ca="1" si="33"/>
        <v>-3.8595571986387862E-2</v>
      </c>
      <c r="S178" s="8">
        <f t="shared" ca="1" si="34"/>
        <v>5.2849997236418469</v>
      </c>
      <c r="T178" s="8">
        <f t="shared" ca="1" si="35"/>
        <v>6.5865366576372217</v>
      </c>
    </row>
    <row r="179" spans="1:20" x14ac:dyDescent="0.25">
      <c r="A179" s="7">
        <f>A178+dt</f>
        <v>8.3999999999999844</v>
      </c>
      <c r="B179" s="8">
        <f t="shared" ca="1" si="24"/>
        <v>-2.7656911046831864E-2</v>
      </c>
      <c r="C179" s="8">
        <f ca="1">lambda*(a-B178)*dt</f>
        <v>3.8595571986387864E-3</v>
      </c>
      <c r="D179" s="8">
        <f ca="1">sigma*SQRT(dt)*_xlfn.NORM.S.INV(RAND())</f>
        <v>7.0791037409172128E-3</v>
      </c>
      <c r="E179" s="8">
        <f t="shared" ca="1" si="25"/>
        <v>1.0938660939555998E-2</v>
      </c>
      <c r="G179" s="8">
        <f t="shared" ca="1" si="26"/>
        <v>5.2945788273827645</v>
      </c>
      <c r="H179" s="8">
        <f>mu*dt</f>
        <v>2.5000000000000005E-3</v>
      </c>
      <c r="I179" s="8">
        <f t="shared" ca="1" si="27"/>
        <v>7.0791037409172128E-3</v>
      </c>
      <c r="J179" s="8">
        <f t="shared" ca="1" si="28"/>
        <v>9.5791037409172133E-3</v>
      </c>
      <c r="L179" s="8">
        <f t="shared" ca="1" si="29"/>
        <v>6.6496297755740832</v>
      </c>
      <c r="M179" s="8">
        <f ca="1">mu*L178*dt</f>
        <v>1.6466341644093056E-2</v>
      </c>
      <c r="N179" s="8">
        <f t="shared" ca="1" si="30"/>
        <v>4.6626776292768013E-2</v>
      </c>
      <c r="O179" s="8">
        <f t="shared" ca="1" si="31"/>
        <v>6.3093117936861065E-2</v>
      </c>
      <c r="Q179" s="7">
        <f t="shared" si="32"/>
        <v>8.3999999999999844</v>
      </c>
      <c r="R179" s="8">
        <f t="shared" ca="1" si="33"/>
        <v>-2.7656911046831864E-2</v>
      </c>
      <c r="S179" s="8">
        <f t="shared" ca="1" si="34"/>
        <v>5.2945788273827645</v>
      </c>
      <c r="T179" s="8">
        <f t="shared" ca="1" si="35"/>
        <v>6.6496297755740832</v>
      </c>
    </row>
    <row r="180" spans="1:20" x14ac:dyDescent="0.25">
      <c r="A180" s="7">
        <f>A179+dt</f>
        <v>8.4499999999999851</v>
      </c>
      <c r="B180" s="8">
        <f t="shared" ca="1" si="24"/>
        <v>-2.2999591319382652E-2</v>
      </c>
      <c r="C180" s="8">
        <f ca="1">lambda*(a-B179)*dt</f>
        <v>2.7656911046831864E-3</v>
      </c>
      <c r="D180" s="8">
        <f ca="1">sigma*SQRT(dt)*_xlfn.NORM.S.INV(RAND())</f>
        <v>1.8916286227660254E-3</v>
      </c>
      <c r="E180" s="8">
        <f t="shared" ca="1" si="25"/>
        <v>4.657319727449212E-3</v>
      </c>
      <c r="G180" s="8">
        <f t="shared" ca="1" si="26"/>
        <v>5.2989704560055308</v>
      </c>
      <c r="H180" s="8">
        <f>mu*dt</f>
        <v>2.5000000000000005E-3</v>
      </c>
      <c r="I180" s="8">
        <f t="shared" ca="1" si="27"/>
        <v>1.8916286227660254E-3</v>
      </c>
      <c r="J180" s="8">
        <f t="shared" ca="1" si="28"/>
        <v>4.3916286227660261E-3</v>
      </c>
      <c r="L180" s="8">
        <f t="shared" ca="1" si="29"/>
        <v>6.6788324800272916</v>
      </c>
      <c r="M180" s="8">
        <f ca="1">mu*L179*dt</f>
        <v>1.662407443893521E-2</v>
      </c>
      <c r="N180" s="8">
        <f t="shared" ca="1" si="30"/>
        <v>1.2578630014273158E-2</v>
      </c>
      <c r="O180" s="8">
        <f t="shared" ca="1" si="31"/>
        <v>2.920270445320837E-2</v>
      </c>
      <c r="Q180" s="7">
        <f t="shared" si="32"/>
        <v>8.4499999999999851</v>
      </c>
      <c r="R180" s="8">
        <f t="shared" ca="1" si="33"/>
        <v>-2.2999591319382652E-2</v>
      </c>
      <c r="S180" s="8">
        <f t="shared" ca="1" si="34"/>
        <v>5.2989704560055308</v>
      </c>
      <c r="T180" s="8">
        <f t="shared" ca="1" si="35"/>
        <v>6.6788324800272916</v>
      </c>
    </row>
    <row r="181" spans="1:20" x14ac:dyDescent="0.25">
      <c r="A181" s="7">
        <f>A180+dt</f>
        <v>8.4999999999999858</v>
      </c>
      <c r="B181" s="8">
        <f t="shared" ca="1" si="24"/>
        <v>-1.840963510587746E-2</v>
      </c>
      <c r="C181" s="8">
        <f ca="1">lambda*(a-B180)*dt</f>
        <v>2.2999591319382653E-3</v>
      </c>
      <c r="D181" s="8">
        <f ca="1">sigma*SQRT(dt)*_xlfn.NORM.S.INV(RAND())</f>
        <v>2.2899970815669244E-3</v>
      </c>
      <c r="E181" s="8">
        <f t="shared" ca="1" si="25"/>
        <v>4.5899562135051902E-3</v>
      </c>
      <c r="G181" s="8">
        <f t="shared" ca="1" si="26"/>
        <v>5.3037604530870981</v>
      </c>
      <c r="H181" s="8">
        <f>mu*dt</f>
        <v>2.5000000000000005E-3</v>
      </c>
      <c r="I181" s="8">
        <f t="shared" ca="1" si="27"/>
        <v>2.2899970815669244E-3</v>
      </c>
      <c r="J181" s="8">
        <f t="shared" ca="1" si="28"/>
        <v>4.7899970815669249E-3</v>
      </c>
      <c r="L181" s="8">
        <f t="shared" ca="1" si="29"/>
        <v>6.7108240681148965</v>
      </c>
      <c r="M181" s="8">
        <f ca="1">mu*L180*dt</f>
        <v>1.6697081200068232E-2</v>
      </c>
      <c r="N181" s="8">
        <f t="shared" ca="1" si="30"/>
        <v>1.5294506887536882E-2</v>
      </c>
      <c r="O181" s="8">
        <f t="shared" ca="1" si="31"/>
        <v>3.1991588087605112E-2</v>
      </c>
      <c r="Q181" s="7">
        <f t="shared" si="32"/>
        <v>8.4999999999999858</v>
      </c>
      <c r="R181" s="8">
        <f t="shared" ca="1" si="33"/>
        <v>-1.840963510587746E-2</v>
      </c>
      <c r="S181" s="8">
        <f t="shared" ca="1" si="34"/>
        <v>5.3037604530870981</v>
      </c>
      <c r="T181" s="8">
        <f t="shared" ca="1" si="35"/>
        <v>6.7108240681148965</v>
      </c>
    </row>
    <row r="182" spans="1:20" x14ac:dyDescent="0.25">
      <c r="A182" s="7">
        <f>A181+dt</f>
        <v>8.5499999999999865</v>
      </c>
      <c r="B182" s="8">
        <f t="shared" ca="1" si="24"/>
        <v>-1.9491707022224077E-2</v>
      </c>
      <c r="C182" s="8">
        <f ca="1">lambda*(a-B181)*dt</f>
        <v>1.8409635105877461E-3</v>
      </c>
      <c r="D182" s="8">
        <f ca="1">sigma*SQRT(dt)*_xlfn.NORM.S.INV(RAND())</f>
        <v>-2.9230354269343629E-3</v>
      </c>
      <c r="E182" s="8">
        <f t="shared" ca="1" si="25"/>
        <v>-1.0820719163466168E-3</v>
      </c>
      <c r="G182" s="8">
        <f t="shared" ca="1" si="26"/>
        <v>5.3033374176601633</v>
      </c>
      <c r="H182" s="8">
        <f>mu*dt</f>
        <v>2.5000000000000005E-3</v>
      </c>
      <c r="I182" s="8">
        <f t="shared" ca="1" si="27"/>
        <v>-2.9230354269343629E-3</v>
      </c>
      <c r="J182" s="8">
        <f t="shared" ca="1" si="28"/>
        <v>-4.2303542693436242E-4</v>
      </c>
      <c r="L182" s="8">
        <f t="shared" ca="1" si="29"/>
        <v>6.7079851517901599</v>
      </c>
      <c r="M182" s="8">
        <f ca="1">mu*L181*dt</f>
        <v>1.6777060170287243E-2</v>
      </c>
      <c r="N182" s="8">
        <f t="shared" ca="1" si="30"/>
        <v>-1.9615976495023623E-2</v>
      </c>
      <c r="O182" s="8">
        <f t="shared" ca="1" si="31"/>
        <v>-2.8389163247363805E-3</v>
      </c>
      <c r="Q182" s="7">
        <f t="shared" si="32"/>
        <v>8.5499999999999865</v>
      </c>
      <c r="R182" s="8">
        <f t="shared" ca="1" si="33"/>
        <v>-1.9491707022224077E-2</v>
      </c>
      <c r="S182" s="8">
        <f t="shared" ca="1" si="34"/>
        <v>5.3033374176601633</v>
      </c>
      <c r="T182" s="8">
        <f t="shared" ca="1" si="35"/>
        <v>6.7079851517901599</v>
      </c>
    </row>
    <row r="183" spans="1:20" x14ac:dyDescent="0.25">
      <c r="A183" s="7">
        <f>A182+dt</f>
        <v>8.5999999999999872</v>
      </c>
      <c r="B183" s="8">
        <f t="shared" ca="1" si="24"/>
        <v>-2.919858411021398E-2</v>
      </c>
      <c r="C183" s="8">
        <f ca="1">lambda*(a-B182)*dt</f>
        <v>1.9491707022224079E-3</v>
      </c>
      <c r="D183" s="8">
        <f ca="1">sigma*SQRT(dt)*_xlfn.NORM.S.INV(RAND())</f>
        <v>-1.165604779021231E-2</v>
      </c>
      <c r="E183" s="8">
        <f t="shared" ca="1" si="25"/>
        <v>-9.7068770879899027E-3</v>
      </c>
      <c r="G183" s="8">
        <f t="shared" ca="1" si="26"/>
        <v>5.2941813698699507</v>
      </c>
      <c r="H183" s="8">
        <f>mu*dt</f>
        <v>2.5000000000000005E-3</v>
      </c>
      <c r="I183" s="8">
        <f t="shared" ca="1" si="27"/>
        <v>-1.165604779021231E-2</v>
      </c>
      <c r="J183" s="8">
        <f t="shared" ca="1" si="28"/>
        <v>-9.1560477902123093E-3</v>
      </c>
      <c r="L183" s="8">
        <f t="shared" ca="1" si="29"/>
        <v>6.6465665191643346</v>
      </c>
      <c r="M183" s="8">
        <f ca="1">mu*L182*dt</f>
        <v>1.6769962879475402E-2</v>
      </c>
      <c r="N183" s="8">
        <f t="shared" ca="1" si="30"/>
        <v>-7.8188595505300676E-2</v>
      </c>
      <c r="O183" s="8">
        <f t="shared" ca="1" si="31"/>
        <v>-6.1418632625825274E-2</v>
      </c>
      <c r="Q183" s="7">
        <f t="shared" si="32"/>
        <v>8.5999999999999872</v>
      </c>
      <c r="R183" s="8">
        <f t="shared" ca="1" si="33"/>
        <v>-2.919858411021398E-2</v>
      </c>
      <c r="S183" s="8">
        <f t="shared" ca="1" si="34"/>
        <v>5.2941813698699507</v>
      </c>
      <c r="T183" s="8">
        <f t="shared" ca="1" si="35"/>
        <v>6.6465665191643346</v>
      </c>
    </row>
    <row r="184" spans="1:20" x14ac:dyDescent="0.25">
      <c r="A184" s="7">
        <f>A183+dt</f>
        <v>8.6499999999999879</v>
      </c>
      <c r="B184" s="8">
        <f t="shared" ca="1" si="24"/>
        <v>-4.0153532215507312E-2</v>
      </c>
      <c r="C184" s="8">
        <f ca="1">lambda*(a-B183)*dt</f>
        <v>2.9198584110213983E-3</v>
      </c>
      <c r="D184" s="8">
        <f ca="1">sigma*SQRT(dt)*_xlfn.NORM.S.INV(RAND())</f>
        <v>-1.387480651631473E-2</v>
      </c>
      <c r="E184" s="8">
        <f t="shared" ca="1" si="25"/>
        <v>-1.0954948105293332E-2</v>
      </c>
      <c r="G184" s="8">
        <f t="shared" ca="1" si="26"/>
        <v>5.2828065633536356</v>
      </c>
      <c r="H184" s="8">
        <f>mu*dt</f>
        <v>2.5000000000000005E-3</v>
      </c>
      <c r="I184" s="8">
        <f t="shared" ca="1" si="27"/>
        <v>-1.387480651631473E-2</v>
      </c>
      <c r="J184" s="8">
        <f t="shared" ca="1" si="28"/>
        <v>-1.137480651631473E-2</v>
      </c>
      <c r="L184" s="8">
        <f t="shared" ca="1" si="29"/>
        <v>6.5709631110110251</v>
      </c>
      <c r="M184" s="8">
        <f ca="1">mu*L183*dt</f>
        <v>1.661641629791084E-2</v>
      </c>
      <c r="N184" s="8">
        <f t="shared" ca="1" si="30"/>
        <v>-9.2219824451220622E-2</v>
      </c>
      <c r="O184" s="8">
        <f t="shared" ca="1" si="31"/>
        <v>-7.5603408153309778E-2</v>
      </c>
      <c r="Q184" s="7">
        <f t="shared" si="32"/>
        <v>8.6499999999999879</v>
      </c>
      <c r="R184" s="8">
        <f t="shared" ca="1" si="33"/>
        <v>-4.0153532215507312E-2</v>
      </c>
      <c r="S184" s="8">
        <f t="shared" ca="1" si="34"/>
        <v>5.2828065633536356</v>
      </c>
      <c r="T184" s="8">
        <f t="shared" ca="1" si="35"/>
        <v>6.5709631110110251</v>
      </c>
    </row>
    <row r="185" spans="1:20" x14ac:dyDescent="0.25">
      <c r="A185" s="7">
        <f>A184+dt</f>
        <v>8.6999999999999886</v>
      </c>
      <c r="B185" s="8">
        <f t="shared" ca="1" si="24"/>
        <v>-3.3477949653733706E-2</v>
      </c>
      <c r="C185" s="8">
        <f ca="1">lambda*(a-B184)*dt</f>
        <v>4.015353221550731E-3</v>
      </c>
      <c r="D185" s="8">
        <f ca="1">sigma*SQRT(dt)*_xlfn.NORM.S.INV(RAND())</f>
        <v>2.6602293402228764E-3</v>
      </c>
      <c r="E185" s="8">
        <f t="shared" ca="1" si="25"/>
        <v>6.6755825617736079E-3</v>
      </c>
      <c r="G185" s="8">
        <f t="shared" ca="1" si="26"/>
        <v>5.2879667926938589</v>
      </c>
      <c r="H185" s="8">
        <f>mu*dt</f>
        <v>2.5000000000000005E-3</v>
      </c>
      <c r="I185" s="8">
        <f t="shared" ca="1" si="27"/>
        <v>2.6602293402228764E-3</v>
      </c>
      <c r="J185" s="8">
        <f t="shared" ca="1" si="28"/>
        <v>5.1602293402228765E-3</v>
      </c>
      <c r="L185" s="8">
        <f t="shared" ca="1" si="29"/>
        <v>6.6048707876499861</v>
      </c>
      <c r="M185" s="8">
        <f ca="1">mu*L184*dt</f>
        <v>1.6427407777527565E-2</v>
      </c>
      <c r="N185" s="8">
        <f t="shared" ca="1" si="30"/>
        <v>1.748026886143372E-2</v>
      </c>
      <c r="O185" s="8">
        <f t="shared" ca="1" si="31"/>
        <v>3.3907676638961284E-2</v>
      </c>
      <c r="Q185" s="7">
        <f t="shared" si="32"/>
        <v>8.6999999999999886</v>
      </c>
      <c r="R185" s="8">
        <f t="shared" ca="1" si="33"/>
        <v>-3.3477949653733706E-2</v>
      </c>
      <c r="S185" s="8">
        <f t="shared" ca="1" si="34"/>
        <v>5.2879667926938589</v>
      </c>
      <c r="T185" s="8">
        <f t="shared" ca="1" si="35"/>
        <v>6.6048707876499861</v>
      </c>
    </row>
    <row r="186" spans="1:20" x14ac:dyDescent="0.25">
      <c r="A186" s="7">
        <f>A185+dt</f>
        <v>8.7499999999999893</v>
      </c>
      <c r="B186" s="8">
        <f t="shared" ca="1" si="24"/>
        <v>-3.3901770852651177E-2</v>
      </c>
      <c r="C186" s="8">
        <f ca="1">lambda*(a-B185)*dt</f>
        <v>3.3477949653733709E-3</v>
      </c>
      <c r="D186" s="8">
        <f ca="1">sigma*SQRT(dt)*_xlfn.NORM.S.INV(RAND())</f>
        <v>-3.7716161642908411E-3</v>
      </c>
      <c r="E186" s="8">
        <f t="shared" ca="1" si="25"/>
        <v>-4.2382119891747018E-4</v>
      </c>
      <c r="G186" s="8">
        <f t="shared" ca="1" si="26"/>
        <v>5.2866951765295678</v>
      </c>
      <c r="H186" s="8">
        <f>mu*dt</f>
        <v>2.5000000000000005E-3</v>
      </c>
      <c r="I186" s="8">
        <f t="shared" ca="1" si="27"/>
        <v>-3.7716161642908411E-3</v>
      </c>
      <c r="J186" s="8">
        <f t="shared" ca="1" si="28"/>
        <v>-1.2716161642908406E-3</v>
      </c>
      <c r="L186" s="8">
        <f t="shared" ca="1" si="29"/>
        <v>6.5964719271933578</v>
      </c>
      <c r="M186" s="8">
        <f ca="1">mu*L185*dt</f>
        <v>1.6512176969124968E-2</v>
      </c>
      <c r="N186" s="8">
        <f t="shared" ca="1" si="30"/>
        <v>-2.4911037425753069E-2</v>
      </c>
      <c r="O186" s="8">
        <f t="shared" ca="1" si="31"/>
        <v>-8.398860456628101E-3</v>
      </c>
      <c r="Q186" s="7">
        <f t="shared" si="32"/>
        <v>8.7499999999999893</v>
      </c>
      <c r="R186" s="8">
        <f t="shared" ca="1" si="33"/>
        <v>-3.3901770852651177E-2</v>
      </c>
      <c r="S186" s="8">
        <f t="shared" ca="1" si="34"/>
        <v>5.2866951765295678</v>
      </c>
      <c r="T186" s="8">
        <f t="shared" ca="1" si="35"/>
        <v>6.5964719271933578</v>
      </c>
    </row>
    <row r="187" spans="1:20" x14ac:dyDescent="0.25">
      <c r="A187" s="7">
        <f>A186+dt</f>
        <v>8.7999999999999901</v>
      </c>
      <c r="B187" s="8">
        <f t="shared" ca="1" si="24"/>
        <v>-3.1927381315954372E-2</v>
      </c>
      <c r="C187" s="8">
        <f ca="1">lambda*(a-B186)*dt</f>
        <v>3.3901770852651177E-3</v>
      </c>
      <c r="D187" s="8">
        <f ca="1">sigma*SQRT(dt)*_xlfn.NORM.S.INV(RAND())</f>
        <v>-1.4157875485683118E-3</v>
      </c>
      <c r="E187" s="8">
        <f t="shared" ca="1" si="25"/>
        <v>1.9743895366968059E-3</v>
      </c>
      <c r="G187" s="8">
        <f t="shared" ca="1" si="26"/>
        <v>5.2877793889809999</v>
      </c>
      <c r="H187" s="8">
        <f>mu*dt</f>
        <v>2.5000000000000005E-3</v>
      </c>
      <c r="I187" s="8">
        <f t="shared" ca="1" si="27"/>
        <v>-1.4157875485683118E-3</v>
      </c>
      <c r="J187" s="8">
        <f t="shared" ca="1" si="28"/>
        <v>1.0842124514316887E-3</v>
      </c>
      <c r="L187" s="8">
        <f t="shared" ca="1" si="29"/>
        <v>6.6036239041923404</v>
      </c>
      <c r="M187" s="8">
        <f ca="1">mu*L186*dt</f>
        <v>1.6491179817983394E-2</v>
      </c>
      <c r="N187" s="8">
        <f t="shared" ca="1" si="30"/>
        <v>-9.3392028190007713E-3</v>
      </c>
      <c r="O187" s="8">
        <f t="shared" ca="1" si="31"/>
        <v>7.1519769989826232E-3</v>
      </c>
      <c r="Q187" s="7">
        <f t="shared" si="32"/>
        <v>8.7999999999999901</v>
      </c>
      <c r="R187" s="8">
        <f t="shared" ca="1" si="33"/>
        <v>-3.1927381315954372E-2</v>
      </c>
      <c r="S187" s="8">
        <f t="shared" ca="1" si="34"/>
        <v>5.2877793889809999</v>
      </c>
      <c r="T187" s="8">
        <f t="shared" ca="1" si="35"/>
        <v>6.6036239041923404</v>
      </c>
    </row>
    <row r="188" spans="1:20" x14ac:dyDescent="0.25">
      <c r="A188" s="7">
        <f>A187+dt</f>
        <v>8.8499999999999908</v>
      </c>
      <c r="B188" s="8">
        <f t="shared" ca="1" si="24"/>
        <v>-3.0924810495683942E-2</v>
      </c>
      <c r="C188" s="8">
        <f ca="1">lambda*(a-B187)*dt</f>
        <v>3.1927381315954373E-3</v>
      </c>
      <c r="D188" s="8">
        <f ca="1">sigma*SQRT(dt)*_xlfn.NORM.S.INV(RAND())</f>
        <v>-2.1901673113250064E-3</v>
      </c>
      <c r="E188" s="8">
        <f t="shared" ca="1" si="25"/>
        <v>1.0025708202704309E-3</v>
      </c>
      <c r="G188" s="8">
        <f t="shared" ca="1" si="26"/>
        <v>5.2880892216696749</v>
      </c>
      <c r="H188" s="8">
        <f>mu*dt</f>
        <v>2.5000000000000005E-3</v>
      </c>
      <c r="I188" s="8">
        <f t="shared" ca="1" si="27"/>
        <v>-2.1901673113250064E-3</v>
      </c>
      <c r="J188" s="8">
        <f t="shared" ca="1" si="28"/>
        <v>3.098326886749941E-4</v>
      </c>
      <c r="L188" s="8">
        <f t="shared" ca="1" si="29"/>
        <v>6.6056699227415745</v>
      </c>
      <c r="M188" s="8">
        <f ca="1">mu*L187*dt</f>
        <v>1.6509059760480851E-2</v>
      </c>
      <c r="N188" s="8">
        <f t="shared" ca="1" si="30"/>
        <v>-1.446304121124648E-2</v>
      </c>
      <c r="O188" s="8">
        <f t="shared" ca="1" si="31"/>
        <v>2.0460185492343717E-3</v>
      </c>
      <c r="Q188" s="7">
        <f t="shared" si="32"/>
        <v>8.8499999999999908</v>
      </c>
      <c r="R188" s="8">
        <f t="shared" ca="1" si="33"/>
        <v>-3.0924810495683942E-2</v>
      </c>
      <c r="S188" s="8">
        <f t="shared" ca="1" si="34"/>
        <v>5.2880892216696749</v>
      </c>
      <c r="T188" s="8">
        <f t="shared" ca="1" si="35"/>
        <v>6.6056699227415745</v>
      </c>
    </row>
    <row r="189" spans="1:20" x14ac:dyDescent="0.25">
      <c r="A189" s="7">
        <f>A188+dt</f>
        <v>8.8999999999999915</v>
      </c>
      <c r="B189" s="8">
        <f t="shared" ca="1" si="24"/>
        <v>-1.8762098375567287E-2</v>
      </c>
      <c r="C189" s="8">
        <f ca="1">lambda*(a-B188)*dt</f>
        <v>3.0924810495683943E-3</v>
      </c>
      <c r="D189" s="8">
        <f ca="1">sigma*SQRT(dt)*_xlfn.NORM.S.INV(RAND())</f>
        <v>9.0702310705482615E-3</v>
      </c>
      <c r="E189" s="8">
        <f t="shared" ca="1" si="25"/>
        <v>1.2162712120116655E-2</v>
      </c>
      <c r="G189" s="8">
        <f t="shared" ca="1" si="26"/>
        <v>5.2996594527402232</v>
      </c>
      <c r="H189" s="8">
        <f>mu*dt</f>
        <v>2.5000000000000005E-3</v>
      </c>
      <c r="I189" s="8">
        <f t="shared" ca="1" si="27"/>
        <v>9.0702310705482615E-3</v>
      </c>
      <c r="J189" s="8">
        <f t="shared" ca="1" si="28"/>
        <v>1.1570231070548262E-2</v>
      </c>
      <c r="L189" s="8">
        <f t="shared" ca="1" si="29"/>
        <v>6.6820990501234654</v>
      </c>
      <c r="M189" s="8">
        <f ca="1">mu*L188*dt</f>
        <v>1.6514174806853937E-2</v>
      </c>
      <c r="N189" s="8">
        <f t="shared" ca="1" si="30"/>
        <v>5.9914952575036762E-2</v>
      </c>
      <c r="O189" s="8">
        <f t="shared" ca="1" si="31"/>
        <v>7.6429127381890699E-2</v>
      </c>
      <c r="Q189" s="7">
        <f t="shared" si="32"/>
        <v>8.8999999999999915</v>
      </c>
      <c r="R189" s="8">
        <f t="shared" ca="1" si="33"/>
        <v>-1.8762098375567287E-2</v>
      </c>
      <c r="S189" s="8">
        <f t="shared" ca="1" si="34"/>
        <v>5.2996594527402232</v>
      </c>
      <c r="T189" s="8">
        <f t="shared" ca="1" si="35"/>
        <v>6.6820990501234654</v>
      </c>
    </row>
    <row r="190" spans="1:20" x14ac:dyDescent="0.25">
      <c r="A190" s="7">
        <f>A189+dt</f>
        <v>8.9499999999999922</v>
      </c>
      <c r="B190" s="8">
        <f t="shared" ca="1" si="24"/>
        <v>-1.4443886587342698E-3</v>
      </c>
      <c r="C190" s="8">
        <f ca="1">lambda*(a-B189)*dt</f>
        <v>1.8762098375567288E-3</v>
      </c>
      <c r="D190" s="8">
        <f ca="1">sigma*SQRT(dt)*_xlfn.NORM.S.INV(RAND())</f>
        <v>1.5441499879276288E-2</v>
      </c>
      <c r="E190" s="8">
        <f t="shared" ca="1" si="25"/>
        <v>1.7317709716833017E-2</v>
      </c>
      <c r="G190" s="8">
        <f t="shared" ca="1" si="26"/>
        <v>5.3176009526194994</v>
      </c>
      <c r="H190" s="8">
        <f>mu*dt</f>
        <v>2.5000000000000005E-3</v>
      </c>
      <c r="I190" s="8">
        <f t="shared" ca="1" si="27"/>
        <v>1.5441499879276288E-2</v>
      </c>
      <c r="J190" s="8">
        <f t="shared" ca="1" si="28"/>
        <v>1.794149987927629E-2</v>
      </c>
      <c r="L190" s="8">
        <f t="shared" ca="1" si="29"/>
        <v>6.8019859294245677</v>
      </c>
      <c r="M190" s="8">
        <f ca="1">mu*L189*dt</f>
        <v>1.6705247625308665E-2</v>
      </c>
      <c r="N190" s="8">
        <f t="shared" ca="1" si="30"/>
        <v>0.10318163167579369</v>
      </c>
      <c r="O190" s="8">
        <f t="shared" ca="1" si="31"/>
        <v>0.11988687930110237</v>
      </c>
      <c r="Q190" s="7">
        <f t="shared" si="32"/>
        <v>8.9499999999999922</v>
      </c>
      <c r="R190" s="8">
        <f t="shared" ca="1" si="33"/>
        <v>-1.4443886587342698E-3</v>
      </c>
      <c r="S190" s="8">
        <f t="shared" ca="1" si="34"/>
        <v>5.3176009526194994</v>
      </c>
      <c r="T190" s="8">
        <f t="shared" ca="1" si="35"/>
        <v>6.8019859294245677</v>
      </c>
    </row>
    <row r="191" spans="1:20" x14ac:dyDescent="0.25">
      <c r="A191" s="7">
        <f>A190+dt</f>
        <v>8.9999999999999929</v>
      </c>
      <c r="B191" s="8">
        <f t="shared" ca="1" si="24"/>
        <v>-1.2112289658568211E-3</v>
      </c>
      <c r="C191" s="8">
        <f ca="1">lambda*(a-B190)*dt</f>
        <v>1.4443886587342698E-4</v>
      </c>
      <c r="D191" s="8">
        <f ca="1">sigma*SQRT(dt)*_xlfn.NORM.S.INV(RAND())</f>
        <v>8.8720827004021733E-5</v>
      </c>
      <c r="E191" s="8">
        <f t="shared" ca="1" si="25"/>
        <v>2.331596928774487E-4</v>
      </c>
      <c r="G191" s="8">
        <f t="shared" ca="1" si="26"/>
        <v>5.3201896734465031</v>
      </c>
      <c r="H191" s="8">
        <f>mu*dt</f>
        <v>2.5000000000000005E-3</v>
      </c>
      <c r="I191" s="8">
        <f t="shared" ca="1" si="27"/>
        <v>8.8720827004021733E-5</v>
      </c>
      <c r="J191" s="8">
        <f t="shared" ca="1" si="28"/>
        <v>2.5887208270040222E-3</v>
      </c>
      <c r="L191" s="8">
        <f t="shared" ca="1" si="29"/>
        <v>6.8195943720650574</v>
      </c>
      <c r="M191" s="8">
        <f ca="1">mu*L190*dt</f>
        <v>1.7004964823561421E-2</v>
      </c>
      <c r="N191" s="8">
        <f t="shared" ca="1" si="30"/>
        <v>6.0347781692826705E-4</v>
      </c>
      <c r="O191" s="8">
        <f t="shared" ca="1" si="31"/>
        <v>1.7608442640489688E-2</v>
      </c>
      <c r="Q191" s="7">
        <f t="shared" si="32"/>
        <v>8.9999999999999929</v>
      </c>
      <c r="R191" s="8">
        <f t="shared" ca="1" si="33"/>
        <v>-1.2112289658568211E-3</v>
      </c>
      <c r="S191" s="8">
        <f t="shared" ca="1" si="34"/>
        <v>5.3201896734465031</v>
      </c>
      <c r="T191" s="8">
        <f t="shared" ca="1" si="35"/>
        <v>6.8195943720650574</v>
      </c>
    </row>
    <row r="192" spans="1:20" x14ac:dyDescent="0.25">
      <c r="A192" s="7">
        <f>A191+dt</f>
        <v>9.0499999999999936</v>
      </c>
      <c r="B192" s="8">
        <f t="shared" ca="1" si="24"/>
        <v>1.6654205383849394E-3</v>
      </c>
      <c r="C192" s="8">
        <f ca="1">lambda*(a-B191)*dt</f>
        <v>1.2112289658568212E-4</v>
      </c>
      <c r="D192" s="8">
        <f ca="1">sigma*SQRT(dt)*_xlfn.NORM.S.INV(RAND())</f>
        <v>2.7555266076560786E-3</v>
      </c>
      <c r="E192" s="8">
        <f t="shared" ca="1" si="25"/>
        <v>2.8766495042417605E-3</v>
      </c>
      <c r="G192" s="8">
        <f t="shared" ca="1" si="26"/>
        <v>5.3254452000541592</v>
      </c>
      <c r="H192" s="8">
        <f>mu*dt</f>
        <v>2.5000000000000005E-3</v>
      </c>
      <c r="I192" s="8">
        <f t="shared" ca="1" si="27"/>
        <v>2.7555266076560786E-3</v>
      </c>
      <c r="J192" s="8">
        <f t="shared" ca="1" si="28"/>
        <v>5.255526607656079E-3</v>
      </c>
      <c r="L192" s="8">
        <f t="shared" ca="1" si="29"/>
        <v>6.8554349317408665</v>
      </c>
      <c r="M192" s="8">
        <f ca="1">mu*L191*dt</f>
        <v>1.7048985930162644E-2</v>
      </c>
      <c r="N192" s="8">
        <f t="shared" ca="1" si="30"/>
        <v>1.8791573745646911E-2</v>
      </c>
      <c r="O192" s="8">
        <f t="shared" ca="1" si="31"/>
        <v>3.5840559675809555E-2</v>
      </c>
      <c r="Q192" s="7">
        <f t="shared" si="32"/>
        <v>9.0499999999999936</v>
      </c>
      <c r="R192" s="8">
        <f t="shared" ca="1" si="33"/>
        <v>1.6654205383849394E-3</v>
      </c>
      <c r="S192" s="8">
        <f t="shared" ca="1" si="34"/>
        <v>5.3254452000541592</v>
      </c>
      <c r="T192" s="8">
        <f t="shared" ca="1" si="35"/>
        <v>6.8554349317408665</v>
      </c>
    </row>
    <row r="193" spans="1:20" x14ac:dyDescent="0.25">
      <c r="A193" s="7">
        <f>A192+dt</f>
        <v>9.0999999999999943</v>
      </c>
      <c r="B193" s="8">
        <f t="shared" ca="1" si="24"/>
        <v>-1.2601378047255737E-2</v>
      </c>
      <c r="C193" s="8">
        <f ca="1">lambda*(a-B192)*dt</f>
        <v>-1.6654205383849396E-4</v>
      </c>
      <c r="D193" s="8">
        <f ca="1">sigma*SQRT(dt)*_xlfn.NORM.S.INV(RAND())</f>
        <v>-1.4100256531802184E-2</v>
      </c>
      <c r="E193" s="8">
        <f t="shared" ca="1" si="25"/>
        <v>-1.4266798585640677E-2</v>
      </c>
      <c r="G193" s="8">
        <f t="shared" ca="1" si="26"/>
        <v>5.3138449435223567</v>
      </c>
      <c r="H193" s="8">
        <f>mu*dt</f>
        <v>2.5000000000000005E-3</v>
      </c>
      <c r="I193" s="8">
        <f t="shared" ca="1" si="27"/>
        <v>-1.4100256531802184E-2</v>
      </c>
      <c r="J193" s="8">
        <f t="shared" ca="1" si="28"/>
        <v>-1.1600256531802184E-2</v>
      </c>
      <c r="L193" s="8">
        <f t="shared" ca="1" si="29"/>
        <v>6.7759101278955942</v>
      </c>
      <c r="M193" s="8">
        <f ca="1">mu*L192*dt</f>
        <v>1.7138587329352167E-2</v>
      </c>
      <c r="N193" s="8">
        <f t="shared" ca="1" si="30"/>
        <v>-9.6663391174624011E-2</v>
      </c>
      <c r="O193" s="8">
        <f t="shared" ca="1" si="31"/>
        <v>-7.9524803845271844E-2</v>
      </c>
      <c r="Q193" s="7">
        <f t="shared" si="32"/>
        <v>9.0999999999999943</v>
      </c>
      <c r="R193" s="8">
        <f t="shared" ca="1" si="33"/>
        <v>-1.2601378047255737E-2</v>
      </c>
      <c r="S193" s="8">
        <f t="shared" ca="1" si="34"/>
        <v>5.3138449435223567</v>
      </c>
      <c r="T193" s="8">
        <f t="shared" ca="1" si="35"/>
        <v>6.7759101278955942</v>
      </c>
    </row>
    <row r="194" spans="1:20" x14ac:dyDescent="0.25">
      <c r="A194" s="7">
        <f>A193+dt</f>
        <v>9.149999999999995</v>
      </c>
      <c r="B194" s="8">
        <f t="shared" ca="1" si="24"/>
        <v>-2.575777777618116E-2</v>
      </c>
      <c r="C194" s="8">
        <f ca="1">lambda*(a-B193)*dt</f>
        <v>1.2601378047255739E-3</v>
      </c>
      <c r="D194" s="8">
        <f ca="1">sigma*SQRT(dt)*_xlfn.NORM.S.INV(RAND())</f>
        <v>-1.4416537533650997E-2</v>
      </c>
      <c r="E194" s="8">
        <f t="shared" ca="1" si="25"/>
        <v>-1.3156399728925423E-2</v>
      </c>
      <c r="G194" s="8">
        <f t="shared" ca="1" si="26"/>
        <v>5.301928405988706</v>
      </c>
      <c r="H194" s="8">
        <f>mu*dt</f>
        <v>2.5000000000000005E-3</v>
      </c>
      <c r="I194" s="8">
        <f t="shared" ca="1" si="27"/>
        <v>-1.4416537533650997E-2</v>
      </c>
      <c r="J194" s="8">
        <f t="shared" ca="1" si="28"/>
        <v>-1.1916537533650996E-2</v>
      </c>
      <c r="L194" s="8">
        <f t="shared" ca="1" si="29"/>
        <v>6.6951647405318804</v>
      </c>
      <c r="M194" s="8">
        <f ca="1">mu*L193*dt</f>
        <v>1.6939775319738986E-2</v>
      </c>
      <c r="N194" s="8">
        <f t="shared" ca="1" si="30"/>
        <v>-9.7685162683452759E-2</v>
      </c>
      <c r="O194" s="8">
        <f t="shared" ca="1" si="31"/>
        <v>-8.0745387363713769E-2</v>
      </c>
      <c r="Q194" s="7">
        <f t="shared" si="32"/>
        <v>9.149999999999995</v>
      </c>
      <c r="R194" s="8">
        <f t="shared" ca="1" si="33"/>
        <v>-2.575777777618116E-2</v>
      </c>
      <c r="S194" s="8">
        <f t="shared" ca="1" si="34"/>
        <v>5.301928405988706</v>
      </c>
      <c r="T194" s="8">
        <f t="shared" ca="1" si="35"/>
        <v>6.6951647405318804</v>
      </c>
    </row>
    <row r="195" spans="1:20" x14ac:dyDescent="0.25">
      <c r="A195" s="7">
        <f>A194+dt</f>
        <v>9.1999999999999957</v>
      </c>
      <c r="B195" s="8">
        <f t="shared" ca="1" si="24"/>
        <v>-9.2257030364560622E-3</v>
      </c>
      <c r="C195" s="8">
        <f ca="1">lambda*(a-B194)*dt</f>
        <v>2.5757777776181162E-3</v>
      </c>
      <c r="D195" s="8">
        <f ca="1">sigma*SQRT(dt)*_xlfn.NORM.S.INV(RAND())</f>
        <v>1.3956296962106983E-2</v>
      </c>
      <c r="E195" s="8">
        <f t="shared" ca="1" si="25"/>
        <v>1.6532074739725098E-2</v>
      </c>
      <c r="G195" s="8">
        <f t="shared" ca="1" si="26"/>
        <v>5.3183847029508131</v>
      </c>
      <c r="H195" s="8">
        <f>mu*dt</f>
        <v>2.5000000000000005E-3</v>
      </c>
      <c r="I195" s="8">
        <f t="shared" ca="1" si="27"/>
        <v>1.3956296962106983E-2</v>
      </c>
      <c r="J195" s="8">
        <f t="shared" ca="1" si="28"/>
        <v>1.6456296962106983E-2</v>
      </c>
      <c r="L195" s="8">
        <f t="shared" ca="1" si="29"/>
        <v>6.8053423597123013</v>
      </c>
      <c r="M195" s="8">
        <f ca="1">mu*L194*dt</f>
        <v>1.6737911851329702E-2</v>
      </c>
      <c r="N195" s="8">
        <f t="shared" ca="1" si="30"/>
        <v>9.3439707329090863E-2</v>
      </c>
      <c r="O195" s="8">
        <f t="shared" ca="1" si="31"/>
        <v>0.11017761918042057</v>
      </c>
      <c r="Q195" s="7">
        <f t="shared" si="32"/>
        <v>9.1999999999999957</v>
      </c>
      <c r="R195" s="8">
        <f t="shared" ca="1" si="33"/>
        <v>-9.2257030364560622E-3</v>
      </c>
      <c r="S195" s="8">
        <f t="shared" ca="1" si="34"/>
        <v>5.3183847029508131</v>
      </c>
      <c r="T195" s="8">
        <f t="shared" ca="1" si="35"/>
        <v>6.8053423597123013</v>
      </c>
    </row>
    <row r="196" spans="1:20" x14ac:dyDescent="0.25">
      <c r="A196" s="7">
        <f>A195+dt</f>
        <v>9.2499999999999964</v>
      </c>
      <c r="B196" s="8">
        <f t="shared" ca="1" si="24"/>
        <v>-1.929856011422305E-2</v>
      </c>
      <c r="C196" s="8">
        <f ca="1">lambda*(a-B195)*dt</f>
        <v>9.2257030364560622E-4</v>
      </c>
      <c r="D196" s="8">
        <f ca="1">sigma*SQRT(dt)*_xlfn.NORM.S.INV(RAND())</f>
        <v>-1.0995427381412595E-2</v>
      </c>
      <c r="E196" s="8">
        <f t="shared" ca="1" si="25"/>
        <v>-1.0072857077766988E-2</v>
      </c>
      <c r="G196" s="8">
        <f t="shared" ca="1" si="26"/>
        <v>5.3098892755694003</v>
      </c>
      <c r="H196" s="8">
        <f>mu*dt</f>
        <v>2.5000000000000005E-3</v>
      </c>
      <c r="I196" s="8">
        <f t="shared" ca="1" si="27"/>
        <v>-1.0995427381412595E-2</v>
      </c>
      <c r="J196" s="8">
        <f t="shared" ca="1" si="28"/>
        <v>-8.4954273814125941E-3</v>
      </c>
      <c r="L196" s="8">
        <f t="shared" ca="1" si="29"/>
        <v>6.7475280678897143</v>
      </c>
      <c r="M196" s="8">
        <f ca="1">mu*L195*dt</f>
        <v>1.7013355899280755E-2</v>
      </c>
      <c r="N196" s="8">
        <f t="shared" ca="1" si="30"/>
        <v>-7.4827647721867632E-2</v>
      </c>
      <c r="O196" s="8">
        <f t="shared" ca="1" si="31"/>
        <v>-5.7814291822586877E-2</v>
      </c>
      <c r="Q196" s="7">
        <f t="shared" si="32"/>
        <v>9.2499999999999964</v>
      </c>
      <c r="R196" s="8">
        <f t="shared" ca="1" si="33"/>
        <v>-1.929856011422305E-2</v>
      </c>
      <c r="S196" s="8">
        <f t="shared" ca="1" si="34"/>
        <v>5.3098892755694003</v>
      </c>
      <c r="T196" s="8">
        <f t="shared" ca="1" si="35"/>
        <v>6.7475280678897143</v>
      </c>
    </row>
    <row r="197" spans="1:20" x14ac:dyDescent="0.25">
      <c r="A197" s="7">
        <f>A196+dt</f>
        <v>9.2999999999999972</v>
      </c>
      <c r="B197" s="8">
        <f t="shared" ca="1" si="24"/>
        <v>-3.0861116740481739E-3</v>
      </c>
      <c r="C197" s="8">
        <f ca="1">lambda*(a-B196)*dt</f>
        <v>1.9298560114223051E-3</v>
      </c>
      <c r="D197" s="8">
        <f ca="1">sigma*SQRT(dt)*_xlfn.NORM.S.INV(RAND())</f>
        <v>1.4282592428752572E-2</v>
      </c>
      <c r="E197" s="8">
        <f t="shared" ca="1" si="25"/>
        <v>1.6212448440174877E-2</v>
      </c>
      <c r="G197" s="8">
        <f t="shared" ca="1" si="26"/>
        <v>5.3266718679981526</v>
      </c>
      <c r="H197" s="8">
        <f>mu*dt</f>
        <v>2.5000000000000005E-3</v>
      </c>
      <c r="I197" s="8">
        <f t="shared" ca="1" si="27"/>
        <v>1.4282592428752572E-2</v>
      </c>
      <c r="J197" s="8">
        <f t="shared" ca="1" si="28"/>
        <v>1.6782592428752574E-2</v>
      </c>
      <c r="L197" s="8">
        <f t="shared" ca="1" si="29"/>
        <v>6.8607690813546753</v>
      </c>
      <c r="M197" s="8">
        <f ca="1">mu*L196*dt</f>
        <v>1.6868820169724286E-2</v>
      </c>
      <c r="N197" s="8">
        <f t="shared" ca="1" si="30"/>
        <v>9.6372193295237107E-2</v>
      </c>
      <c r="O197" s="8">
        <f t="shared" ca="1" si="31"/>
        <v>0.11324101346496139</v>
      </c>
      <c r="Q197" s="7">
        <f t="shared" si="32"/>
        <v>9.2999999999999972</v>
      </c>
      <c r="R197" s="8">
        <f t="shared" ca="1" si="33"/>
        <v>-3.0861116740481739E-3</v>
      </c>
      <c r="S197" s="8">
        <f t="shared" ca="1" si="34"/>
        <v>5.3266718679981526</v>
      </c>
      <c r="T197" s="8">
        <f t="shared" ca="1" si="35"/>
        <v>6.8607690813546753</v>
      </c>
    </row>
    <row r="198" spans="1:20" x14ac:dyDescent="0.25">
      <c r="A198" s="7">
        <f>A197+dt</f>
        <v>9.3499999999999979</v>
      </c>
      <c r="B198" s="8">
        <f t="shared" ca="1" si="24"/>
        <v>-3.8789636883997244E-3</v>
      </c>
      <c r="C198" s="8">
        <f ca="1">lambda*(a-B197)*dt</f>
        <v>3.0861116740481742E-4</v>
      </c>
      <c r="D198" s="8">
        <f ca="1">sigma*SQRT(dt)*_xlfn.NORM.S.INV(RAND())</f>
        <v>-1.101463181756368E-3</v>
      </c>
      <c r="E198" s="8">
        <f t="shared" ca="1" si="25"/>
        <v>-7.9285201435155058E-4</v>
      </c>
      <c r="G198" s="8">
        <f t="shared" ca="1" si="26"/>
        <v>5.3280704048163958</v>
      </c>
      <c r="H198" s="8">
        <f>mu*dt</f>
        <v>2.5000000000000005E-3</v>
      </c>
      <c r="I198" s="8">
        <f t="shared" ca="1" si="27"/>
        <v>-1.101463181756368E-3</v>
      </c>
      <c r="J198" s="8">
        <f t="shared" ca="1" si="28"/>
        <v>1.3985368182436325E-3</v>
      </c>
      <c r="L198" s="8">
        <f t="shared" ca="1" si="29"/>
        <v>6.8703641195164176</v>
      </c>
      <c r="M198" s="8">
        <f ca="1">mu*L197*dt</f>
        <v>1.7151922703386693E-2</v>
      </c>
      <c r="N198" s="8">
        <f t="shared" ca="1" si="30"/>
        <v>-7.5568845416446343E-3</v>
      </c>
      <c r="O198" s="8">
        <f t="shared" ca="1" si="31"/>
        <v>9.5950381617420574E-3</v>
      </c>
      <c r="Q198" s="7">
        <f t="shared" si="32"/>
        <v>9.3499999999999979</v>
      </c>
      <c r="R198" s="8">
        <f t="shared" ca="1" si="33"/>
        <v>-3.8789636883997244E-3</v>
      </c>
      <c r="S198" s="8">
        <f t="shared" ca="1" si="34"/>
        <v>5.3280704048163958</v>
      </c>
      <c r="T198" s="8">
        <f t="shared" ca="1" si="35"/>
        <v>6.8703641195164176</v>
      </c>
    </row>
    <row r="199" spans="1:20" x14ac:dyDescent="0.25">
      <c r="A199" s="7">
        <f>A198+dt</f>
        <v>9.3999999999999986</v>
      </c>
      <c r="B199" s="8">
        <f t="shared" ca="1" si="24"/>
        <v>-1.4842009126317911E-2</v>
      </c>
      <c r="C199" s="8">
        <f ca="1">lambda*(a-B198)*dt</f>
        <v>3.8789636883997244E-4</v>
      </c>
      <c r="D199" s="8">
        <f ca="1">sigma*SQRT(dt)*_xlfn.NORM.S.INV(RAND())</f>
        <v>-1.135094180675816E-2</v>
      </c>
      <c r="E199" s="8">
        <f t="shared" ca="1" si="25"/>
        <v>-1.0963045437918187E-2</v>
      </c>
      <c r="G199" s="8">
        <f t="shared" ca="1" si="26"/>
        <v>5.3192194630096381</v>
      </c>
      <c r="H199" s="8">
        <f>mu*dt</f>
        <v>2.5000000000000005E-3</v>
      </c>
      <c r="I199" s="8">
        <f t="shared" ca="1" si="27"/>
        <v>-1.135094180675816E-2</v>
      </c>
      <c r="J199" s="8">
        <f t="shared" ca="1" si="28"/>
        <v>-8.8509418067581596E-3</v>
      </c>
      <c r="L199" s="8">
        <f t="shared" ca="1" si="29"/>
        <v>6.8095549265033384</v>
      </c>
      <c r="M199" s="8">
        <f ca="1">mu*L198*dt</f>
        <v>1.7175910298791047E-2</v>
      </c>
      <c r="N199" s="8">
        <f t="shared" ca="1" si="30"/>
        <v>-7.7985103311870127E-2</v>
      </c>
      <c r="O199" s="8">
        <f t="shared" ca="1" si="31"/>
        <v>-6.0809193013079077E-2</v>
      </c>
      <c r="Q199" s="7">
        <f t="shared" si="32"/>
        <v>9.3999999999999986</v>
      </c>
      <c r="R199" s="8">
        <f t="shared" ca="1" si="33"/>
        <v>-1.4842009126317911E-2</v>
      </c>
      <c r="S199" s="8">
        <f t="shared" ca="1" si="34"/>
        <v>5.3192194630096381</v>
      </c>
      <c r="T199" s="8">
        <f t="shared" ca="1" si="35"/>
        <v>6.8095549265033384</v>
      </c>
    </row>
    <row r="200" spans="1:20" x14ac:dyDescent="0.25">
      <c r="A200" s="7">
        <f>A199+dt</f>
        <v>9.4499999999999993</v>
      </c>
      <c r="B200" s="8">
        <f t="shared" ca="1" si="24"/>
        <v>-1.5514562303340893E-2</v>
      </c>
      <c r="C200" s="8">
        <f ca="1">lambda*(a-B199)*dt</f>
        <v>1.4842009126317911E-3</v>
      </c>
      <c r="D200" s="8">
        <f ca="1">sigma*SQRT(dt)*_xlfn.NORM.S.INV(RAND())</f>
        <v>-2.1567540896547731E-3</v>
      </c>
      <c r="E200" s="8">
        <f t="shared" ca="1" si="25"/>
        <v>-6.7255317702298199E-4</v>
      </c>
      <c r="G200" s="8">
        <f t="shared" ca="1" si="26"/>
        <v>5.3195627089199835</v>
      </c>
      <c r="H200" s="8">
        <f>mu*dt</f>
        <v>2.5000000000000005E-3</v>
      </c>
      <c r="I200" s="8">
        <f t="shared" ca="1" si="27"/>
        <v>-2.1567540896547731E-3</v>
      </c>
      <c r="J200" s="8">
        <f t="shared" ca="1" si="28"/>
        <v>3.4324591034522742E-4</v>
      </c>
      <c r="L200" s="8">
        <f t="shared" ca="1" si="29"/>
        <v>6.8118922783831319</v>
      </c>
      <c r="M200" s="8">
        <f ca="1">mu*L199*dt</f>
        <v>1.7023887316258347E-2</v>
      </c>
      <c r="N200" s="8">
        <f t="shared" ca="1" si="30"/>
        <v>-1.4686535436464882E-2</v>
      </c>
      <c r="O200" s="8">
        <f t="shared" ca="1" si="31"/>
        <v>2.3373518797934652E-3</v>
      </c>
      <c r="Q200" s="7">
        <f t="shared" si="32"/>
        <v>9.4499999999999993</v>
      </c>
      <c r="R200" s="8">
        <f t="shared" ca="1" si="33"/>
        <v>-1.5514562303340893E-2</v>
      </c>
      <c r="S200" s="8">
        <f t="shared" ca="1" si="34"/>
        <v>5.3195627089199835</v>
      </c>
      <c r="T200" s="8">
        <f t="shared" ca="1" si="35"/>
        <v>6.8118922783831319</v>
      </c>
    </row>
    <row r="201" spans="1:20" x14ac:dyDescent="0.25">
      <c r="A201" s="7">
        <f>A200+dt</f>
        <v>9.5</v>
      </c>
      <c r="B201" s="8">
        <f t="shared" ca="1" si="24"/>
        <v>-1.3400366818318283E-2</v>
      </c>
      <c r="C201" s="8">
        <f ca="1">lambda*(a-B200)*dt</f>
        <v>1.5514562303340894E-3</v>
      </c>
      <c r="D201" s="8">
        <f ca="1">sigma*SQRT(dt)*_xlfn.NORM.S.INV(RAND())</f>
        <v>5.6273925468852063E-4</v>
      </c>
      <c r="E201" s="8">
        <f t="shared" ca="1" si="25"/>
        <v>2.1141954850226099E-3</v>
      </c>
      <c r="G201" s="8">
        <f t="shared" ca="1" si="26"/>
        <v>5.322625448174672</v>
      </c>
      <c r="H201" s="8">
        <f>mu*dt</f>
        <v>2.5000000000000005E-3</v>
      </c>
      <c r="I201" s="8">
        <f t="shared" ca="1" si="27"/>
        <v>5.6273925468852063E-4</v>
      </c>
      <c r="J201" s="8">
        <f t="shared" ca="1" si="28"/>
        <v>3.0627392546885212E-3</v>
      </c>
      <c r="L201" s="8">
        <f t="shared" ca="1" si="29"/>
        <v>6.8327553282628459</v>
      </c>
      <c r="M201" s="8">
        <f ca="1">mu*L200*dt</f>
        <v>1.7029730695957833E-2</v>
      </c>
      <c r="N201" s="8">
        <f t="shared" ca="1" si="30"/>
        <v>3.8333191837558122E-3</v>
      </c>
      <c r="O201" s="8">
        <f t="shared" ca="1" si="31"/>
        <v>2.0863049879713644E-2</v>
      </c>
      <c r="Q201" s="7">
        <f t="shared" si="32"/>
        <v>9.5</v>
      </c>
      <c r="R201" s="8">
        <f t="shared" ca="1" si="33"/>
        <v>-1.3400366818318283E-2</v>
      </c>
      <c r="S201" s="8">
        <f t="shared" ca="1" si="34"/>
        <v>5.322625448174672</v>
      </c>
      <c r="T201" s="8">
        <f t="shared" ca="1" si="35"/>
        <v>6.8327553282628459</v>
      </c>
    </row>
    <row r="202" spans="1:20" x14ac:dyDescent="0.25">
      <c r="A202" s="7">
        <f>A201+dt</f>
        <v>9.5500000000000007</v>
      </c>
      <c r="B202" s="8">
        <f t="shared" ca="1" si="24"/>
        <v>1.204645222489786E-3</v>
      </c>
      <c r="C202" s="8">
        <f ca="1">lambda*(a-B201)*dt</f>
        <v>1.3400366818318284E-3</v>
      </c>
      <c r="D202" s="8">
        <f ca="1">sigma*SQRT(dt)*_xlfn.NORM.S.INV(RAND())</f>
        <v>1.3264975358976241E-2</v>
      </c>
      <c r="E202" s="8">
        <f t="shared" ca="1" si="25"/>
        <v>1.4605012040808069E-2</v>
      </c>
      <c r="G202" s="8">
        <f t="shared" ca="1" si="26"/>
        <v>5.3383904235336486</v>
      </c>
      <c r="H202" s="8">
        <f>mu*dt</f>
        <v>2.5000000000000005E-3</v>
      </c>
      <c r="I202" s="8">
        <f t="shared" ca="1" si="27"/>
        <v>1.3264975358976241E-2</v>
      </c>
      <c r="J202" s="8">
        <f t="shared" ca="1" si="28"/>
        <v>1.5764975358976242E-2</v>
      </c>
      <c r="L202" s="8">
        <f t="shared" ca="1" si="29"/>
        <v>6.9404735476468229</v>
      </c>
      <c r="M202" s="8">
        <f ca="1">mu*L201*dt</f>
        <v>1.7081888320657115E-2</v>
      </c>
      <c r="N202" s="8">
        <f t="shared" ca="1" si="30"/>
        <v>9.0636331063320266E-2</v>
      </c>
      <c r="O202" s="8">
        <f t="shared" ca="1" si="31"/>
        <v>0.10771821938397738</v>
      </c>
      <c r="Q202" s="7">
        <f t="shared" si="32"/>
        <v>9.5500000000000007</v>
      </c>
      <c r="R202" s="8">
        <f t="shared" ca="1" si="33"/>
        <v>1.204645222489786E-3</v>
      </c>
      <c r="S202" s="8">
        <f t="shared" ca="1" si="34"/>
        <v>5.3383904235336486</v>
      </c>
      <c r="T202" s="8">
        <f t="shared" ca="1" si="35"/>
        <v>6.9404735476468229</v>
      </c>
    </row>
    <row r="203" spans="1:20" x14ac:dyDescent="0.25">
      <c r="A203" s="7">
        <f>A202+dt</f>
        <v>9.6000000000000014</v>
      </c>
      <c r="B203" s="8">
        <f t="shared" ca="1" si="24"/>
        <v>9.7300448057412413E-3</v>
      </c>
      <c r="C203" s="8">
        <f ca="1">lambda*(a-B202)*dt</f>
        <v>-1.204645222489786E-4</v>
      </c>
      <c r="D203" s="8">
        <f ca="1">sigma*SQRT(dt)*_xlfn.NORM.S.INV(RAND())</f>
        <v>8.6458641055004344E-3</v>
      </c>
      <c r="E203" s="8">
        <f t="shared" ca="1" si="25"/>
        <v>8.5253995832514553E-3</v>
      </c>
      <c r="G203" s="8">
        <f t="shared" ca="1" si="26"/>
        <v>5.3495362876391486</v>
      </c>
      <c r="H203" s="8">
        <f>mu*dt</f>
        <v>2.5000000000000005E-3</v>
      </c>
      <c r="I203" s="8">
        <f t="shared" ca="1" si="27"/>
        <v>8.6458641055004344E-3</v>
      </c>
      <c r="J203" s="8">
        <f t="shared" ca="1" si="28"/>
        <v>1.1145864105500435E-2</v>
      </c>
      <c r="L203" s="8">
        <f t="shared" ca="1" si="29"/>
        <v>7.0178311226367152</v>
      </c>
      <c r="M203" s="8">
        <f ca="1">mu*L202*dt</f>
        <v>1.7351183869117059E-2</v>
      </c>
      <c r="N203" s="8">
        <f t="shared" ca="1" si="30"/>
        <v>6.0006391120774924E-2</v>
      </c>
      <c r="O203" s="8">
        <f t="shared" ca="1" si="31"/>
        <v>7.7357574989891986E-2</v>
      </c>
      <c r="Q203" s="7">
        <f t="shared" si="32"/>
        <v>9.6000000000000014</v>
      </c>
      <c r="R203" s="8">
        <f t="shared" ca="1" si="33"/>
        <v>9.7300448057412413E-3</v>
      </c>
      <c r="S203" s="8">
        <f t="shared" ca="1" si="34"/>
        <v>5.3495362876391486</v>
      </c>
      <c r="T203" s="8">
        <f t="shared" ca="1" si="35"/>
        <v>7.0178311226367152</v>
      </c>
    </row>
    <row r="204" spans="1:20" x14ac:dyDescent="0.25">
      <c r="A204" s="7">
        <f>A203+dt</f>
        <v>9.6500000000000021</v>
      </c>
      <c r="B204" s="8">
        <f t="shared" ca="1" si="24"/>
        <v>7.5057970306872911E-3</v>
      </c>
      <c r="C204" s="8">
        <f ca="1">lambda*(a-B203)*dt</f>
        <v>-9.7300448057412419E-4</v>
      </c>
      <c r="D204" s="8">
        <f ca="1">sigma*SQRT(dt)*_xlfn.NORM.S.INV(RAND())</f>
        <v>-1.2512432944798257E-3</v>
      </c>
      <c r="E204" s="8">
        <f t="shared" ca="1" si="25"/>
        <v>-2.2242477750539498E-3</v>
      </c>
      <c r="G204" s="8">
        <f t="shared" ca="1" si="26"/>
        <v>5.3507850443446685</v>
      </c>
      <c r="H204" s="8">
        <f>mu*dt</f>
        <v>2.5000000000000005E-3</v>
      </c>
      <c r="I204" s="8">
        <f t="shared" ca="1" si="27"/>
        <v>-1.2512432944798257E-3</v>
      </c>
      <c r="J204" s="8">
        <f t="shared" ca="1" si="28"/>
        <v>1.2487567055201748E-3</v>
      </c>
      <c r="L204" s="8">
        <f t="shared" ca="1" si="29"/>
        <v>7.0265946863093163</v>
      </c>
      <c r="M204" s="8">
        <f ca="1">mu*L203*dt</f>
        <v>1.7544577806591789E-2</v>
      </c>
      <c r="N204" s="8">
        <f t="shared" ca="1" si="30"/>
        <v>-8.7810141339910164E-3</v>
      </c>
      <c r="O204" s="8">
        <f t="shared" ca="1" si="31"/>
        <v>8.7635636726007722E-3</v>
      </c>
      <c r="Q204" s="7">
        <f t="shared" si="32"/>
        <v>9.6500000000000021</v>
      </c>
      <c r="R204" s="8">
        <f t="shared" ca="1" si="33"/>
        <v>7.5057970306872911E-3</v>
      </c>
      <c r="S204" s="8">
        <f t="shared" ca="1" si="34"/>
        <v>5.3507850443446685</v>
      </c>
      <c r="T204" s="8">
        <f t="shared" ca="1" si="35"/>
        <v>7.0265946863093163</v>
      </c>
    </row>
    <row r="205" spans="1:20" x14ac:dyDescent="0.25">
      <c r="A205" s="7">
        <f>A204+dt</f>
        <v>9.7000000000000028</v>
      </c>
      <c r="B205" s="8">
        <f t="shared" ref="B205:B268" ca="1" si="36">B204+E205</f>
        <v>-5.5514808398184588E-3</v>
      </c>
      <c r="C205" s="8">
        <f ca="1">lambda*(a-B204)*dt</f>
        <v>-7.5057970306872913E-4</v>
      </c>
      <c r="D205" s="8">
        <f ca="1">sigma*SQRT(dt)*_xlfn.NORM.S.INV(RAND())</f>
        <v>-1.230669816743702E-2</v>
      </c>
      <c r="E205" s="8">
        <f t="shared" ref="E205:E268" ca="1" si="37">C205+D205</f>
        <v>-1.305727787050575E-2</v>
      </c>
      <c r="G205" s="8">
        <f t="shared" ref="G205:G268" ca="1" si="38">G204+J205</f>
        <v>5.3409783461772316</v>
      </c>
      <c r="H205" s="8">
        <f>mu*dt</f>
        <v>2.5000000000000005E-3</v>
      </c>
      <c r="I205" s="8">
        <f t="shared" ref="I205:I268" ca="1" si="39">D205</f>
        <v>-1.230669816743702E-2</v>
      </c>
      <c r="J205" s="8">
        <f t="shared" ref="J205:J268" ca="1" si="40">H205+I205</f>
        <v>-9.80669816743702E-3</v>
      </c>
      <c r="L205" s="8">
        <f t="shared" ref="L205:L268" ca="1" si="41">L204+O205</f>
        <v>6.9576869930757637</v>
      </c>
      <c r="M205" s="8">
        <f ca="1">mu*L204*dt</f>
        <v>1.7566486715773291E-2</v>
      </c>
      <c r="N205" s="8">
        <f t="shared" ref="N205:N268" ca="1" si="42">L204*D205</f>
        <v>-8.6474179949325575E-2</v>
      </c>
      <c r="O205" s="8">
        <f t="shared" ref="O205:O268" ca="1" si="43">M205+N205</f>
        <v>-6.8907693233552281E-2</v>
      </c>
      <c r="Q205" s="7">
        <f t="shared" ref="Q205:Q268" si="44">A205</f>
        <v>9.7000000000000028</v>
      </c>
      <c r="R205" s="8">
        <f t="shared" ref="R205:R268" ca="1" si="45">B205</f>
        <v>-5.5514808398184588E-3</v>
      </c>
      <c r="S205" s="8">
        <f t="shared" ref="S205:S268" ca="1" si="46">G205</f>
        <v>5.3409783461772316</v>
      </c>
      <c r="T205" s="8">
        <f t="shared" ref="T205:T268" ca="1" si="47">L205</f>
        <v>6.9576869930757637</v>
      </c>
    </row>
    <row r="206" spans="1:20" x14ac:dyDescent="0.25">
      <c r="A206" s="7">
        <f>A205+dt</f>
        <v>9.7500000000000036</v>
      </c>
      <c r="B206" s="8">
        <f t="shared" ca="1" si="36"/>
        <v>-1.56372982808866E-2</v>
      </c>
      <c r="C206" s="8">
        <f ca="1">lambda*(a-B205)*dt</f>
        <v>5.5514808398184588E-4</v>
      </c>
      <c r="D206" s="8">
        <f ca="1">sigma*SQRT(dt)*_xlfn.NORM.S.INV(RAND())</f>
        <v>-1.0640965525049988E-2</v>
      </c>
      <c r="E206" s="8">
        <f t="shared" ca="1" si="37"/>
        <v>-1.0085817441068142E-2</v>
      </c>
      <c r="G206" s="8">
        <f t="shared" ca="1" si="38"/>
        <v>5.3328373806521814</v>
      </c>
      <c r="H206" s="8">
        <f>mu*dt</f>
        <v>2.5000000000000005E-3</v>
      </c>
      <c r="I206" s="8">
        <f t="shared" ca="1" si="39"/>
        <v>-1.0640965525049988E-2</v>
      </c>
      <c r="J206" s="8">
        <f t="shared" ca="1" si="40"/>
        <v>-8.1409655250499879E-3</v>
      </c>
      <c r="L206" s="8">
        <f t="shared" ca="1" si="41"/>
        <v>6.9010447031310456</v>
      </c>
      <c r="M206" s="8">
        <f ca="1">mu*L205*dt</f>
        <v>1.7394217482689413E-2</v>
      </c>
      <c r="N206" s="8">
        <f t="shared" ca="1" si="42"/>
        <v>-7.4036507427407916E-2</v>
      </c>
      <c r="O206" s="8">
        <f t="shared" ca="1" si="43"/>
        <v>-5.6642289944718503E-2</v>
      </c>
      <c r="Q206" s="7">
        <f t="shared" si="44"/>
        <v>9.7500000000000036</v>
      </c>
      <c r="R206" s="8">
        <f t="shared" ca="1" si="45"/>
        <v>-1.56372982808866E-2</v>
      </c>
      <c r="S206" s="8">
        <f t="shared" ca="1" si="46"/>
        <v>5.3328373806521814</v>
      </c>
      <c r="T206" s="8">
        <f t="shared" ca="1" si="47"/>
        <v>6.9010447031310456</v>
      </c>
    </row>
    <row r="207" spans="1:20" x14ac:dyDescent="0.25">
      <c r="A207" s="7">
        <f>A206+dt</f>
        <v>9.8000000000000043</v>
      </c>
      <c r="B207" s="8">
        <f t="shared" ca="1" si="36"/>
        <v>-3.189013224339405E-2</v>
      </c>
      <c r="C207" s="8">
        <f ca="1">lambda*(a-B206)*dt</f>
        <v>1.56372982808866E-3</v>
      </c>
      <c r="D207" s="8">
        <f ca="1">sigma*SQRT(dt)*_xlfn.NORM.S.INV(RAND())</f>
        <v>-1.781656379059611E-2</v>
      </c>
      <c r="E207" s="8">
        <f t="shared" ca="1" si="37"/>
        <v>-1.625283396250745E-2</v>
      </c>
      <c r="G207" s="8">
        <f t="shared" ca="1" si="38"/>
        <v>5.3175208168615855</v>
      </c>
      <c r="H207" s="8">
        <f>mu*dt</f>
        <v>2.5000000000000005E-3</v>
      </c>
      <c r="I207" s="8">
        <f t="shared" ca="1" si="39"/>
        <v>-1.781656379059611E-2</v>
      </c>
      <c r="J207" s="8">
        <f t="shared" ca="1" si="40"/>
        <v>-1.5316563790596109E-2</v>
      </c>
      <c r="L207" s="8">
        <f t="shared" ca="1" si="41"/>
        <v>6.7953444117137831</v>
      </c>
      <c r="M207" s="8">
        <f ca="1">mu*L206*dt</f>
        <v>1.7252611757827618E-2</v>
      </c>
      <c r="N207" s="8">
        <f t="shared" ca="1" si="42"/>
        <v>-0.12295290317508967</v>
      </c>
      <c r="O207" s="8">
        <f t="shared" ca="1" si="43"/>
        <v>-0.10570029141726205</v>
      </c>
      <c r="Q207" s="7">
        <f t="shared" si="44"/>
        <v>9.8000000000000043</v>
      </c>
      <c r="R207" s="8">
        <f t="shared" ca="1" si="45"/>
        <v>-3.189013224339405E-2</v>
      </c>
      <c r="S207" s="8">
        <f t="shared" ca="1" si="46"/>
        <v>5.3175208168615855</v>
      </c>
      <c r="T207" s="8">
        <f t="shared" ca="1" si="47"/>
        <v>6.7953444117137831</v>
      </c>
    </row>
    <row r="208" spans="1:20" x14ac:dyDescent="0.25">
      <c r="A208" s="7">
        <f>A207+dt</f>
        <v>9.850000000000005</v>
      </c>
      <c r="B208" s="8">
        <f t="shared" ca="1" si="36"/>
        <v>-2.4197529062683784E-2</v>
      </c>
      <c r="C208" s="8">
        <f ca="1">lambda*(a-B207)*dt</f>
        <v>3.1890132243394052E-3</v>
      </c>
      <c r="D208" s="8">
        <f ca="1">sigma*SQRT(dt)*_xlfn.NORM.S.INV(RAND())</f>
        <v>4.5035899563708615E-3</v>
      </c>
      <c r="E208" s="8">
        <f t="shared" ca="1" si="37"/>
        <v>7.6926031807102672E-3</v>
      </c>
      <c r="G208" s="8">
        <f t="shared" ca="1" si="38"/>
        <v>5.3245244068179565</v>
      </c>
      <c r="H208" s="8">
        <f>mu*dt</f>
        <v>2.5000000000000005E-3</v>
      </c>
      <c r="I208" s="8">
        <f t="shared" ca="1" si="39"/>
        <v>4.5035899563708615E-3</v>
      </c>
      <c r="J208" s="8">
        <f t="shared" ca="1" si="40"/>
        <v>7.003589956370862E-3</v>
      </c>
      <c r="L208" s="8">
        <f t="shared" ca="1" si="41"/>
        <v>6.8429362175857422</v>
      </c>
      <c r="M208" s="8">
        <f ca="1">mu*L207*dt</f>
        <v>1.6988361029284461E-2</v>
      </c>
      <c r="N208" s="8">
        <f t="shared" ca="1" si="42"/>
        <v>3.0603444842675055E-2</v>
      </c>
      <c r="O208" s="8">
        <f t="shared" ca="1" si="43"/>
        <v>4.7591805871959519E-2</v>
      </c>
      <c r="Q208" s="7">
        <f t="shared" si="44"/>
        <v>9.850000000000005</v>
      </c>
      <c r="R208" s="8">
        <f t="shared" ca="1" si="45"/>
        <v>-2.4197529062683784E-2</v>
      </c>
      <c r="S208" s="8">
        <f t="shared" ca="1" si="46"/>
        <v>5.3245244068179565</v>
      </c>
      <c r="T208" s="8">
        <f t="shared" ca="1" si="47"/>
        <v>6.8429362175857422</v>
      </c>
    </row>
    <row r="209" spans="1:20" x14ac:dyDescent="0.25">
      <c r="A209" s="7">
        <f>A208+dt</f>
        <v>9.9000000000000057</v>
      </c>
      <c r="B209" s="8">
        <f t="shared" ca="1" si="36"/>
        <v>-2.8660572477022635E-2</v>
      </c>
      <c r="C209" s="8">
        <f ca="1">lambda*(a-B208)*dt</f>
        <v>2.4197529062683788E-3</v>
      </c>
      <c r="D209" s="8">
        <f ca="1">sigma*SQRT(dt)*_xlfn.NORM.S.INV(RAND())</f>
        <v>-6.8827963206072301E-3</v>
      </c>
      <c r="E209" s="8">
        <f t="shared" ca="1" si="37"/>
        <v>-4.4630434143388513E-3</v>
      </c>
      <c r="G209" s="8">
        <f t="shared" ca="1" si="38"/>
        <v>5.3201416104973491</v>
      </c>
      <c r="H209" s="8">
        <f>mu*dt</f>
        <v>2.5000000000000005E-3</v>
      </c>
      <c r="I209" s="8">
        <f t="shared" ca="1" si="39"/>
        <v>-6.8827963206072301E-3</v>
      </c>
      <c r="J209" s="8">
        <f t="shared" ca="1" si="40"/>
        <v>-4.3827963206072296E-3</v>
      </c>
      <c r="L209" s="8">
        <f t="shared" ca="1" si="41"/>
        <v>6.8129450219091572</v>
      </c>
      <c r="M209" s="8">
        <f ca="1">mu*L208*dt</f>
        <v>1.7107340543964355E-2</v>
      </c>
      <c r="N209" s="8">
        <f t="shared" ca="1" si="42"/>
        <v>-4.7098536220549103E-2</v>
      </c>
      <c r="O209" s="8">
        <f t="shared" ca="1" si="43"/>
        <v>-2.9991195676584748E-2</v>
      </c>
      <c r="Q209" s="7">
        <f t="shared" si="44"/>
        <v>9.9000000000000057</v>
      </c>
      <c r="R209" s="8">
        <f t="shared" ca="1" si="45"/>
        <v>-2.8660572477022635E-2</v>
      </c>
      <c r="S209" s="8">
        <f t="shared" ca="1" si="46"/>
        <v>5.3201416104973491</v>
      </c>
      <c r="T209" s="8">
        <f t="shared" ca="1" si="47"/>
        <v>6.8129450219091572</v>
      </c>
    </row>
    <row r="210" spans="1:20" x14ac:dyDescent="0.25">
      <c r="A210" s="7">
        <f>A209+dt</f>
        <v>9.9500000000000064</v>
      </c>
      <c r="B210" s="8">
        <f t="shared" ca="1" si="36"/>
        <v>-2.2940205817973874E-2</v>
      </c>
      <c r="C210" s="8">
        <f ca="1">lambda*(a-B209)*dt</f>
        <v>2.8660572477022636E-3</v>
      </c>
      <c r="D210" s="8">
        <f ca="1">sigma*SQRT(dt)*_xlfn.NORM.S.INV(RAND())</f>
        <v>2.8543094113464983E-3</v>
      </c>
      <c r="E210" s="8">
        <f t="shared" ca="1" si="37"/>
        <v>5.7203666590487619E-3</v>
      </c>
      <c r="G210" s="8">
        <f t="shared" ca="1" si="38"/>
        <v>5.325495919908696</v>
      </c>
      <c r="H210" s="8">
        <f>mu*dt</f>
        <v>2.5000000000000005E-3</v>
      </c>
      <c r="I210" s="8">
        <f t="shared" ca="1" si="39"/>
        <v>2.8543094113464983E-3</v>
      </c>
      <c r="J210" s="8">
        <f t="shared" ca="1" si="40"/>
        <v>5.3543094113464983E-3</v>
      </c>
      <c r="L210" s="8">
        <f t="shared" ca="1" si="41"/>
        <v>6.8494236375589512</v>
      </c>
      <c r="M210" s="8">
        <f ca="1">mu*L209*dt</f>
        <v>1.7032362554772897E-2</v>
      </c>
      <c r="N210" s="8">
        <f t="shared" ca="1" si="42"/>
        <v>1.9446253095021581E-2</v>
      </c>
      <c r="O210" s="8">
        <f t="shared" ca="1" si="43"/>
        <v>3.6478615649794474E-2</v>
      </c>
      <c r="Q210" s="7">
        <f t="shared" si="44"/>
        <v>9.9500000000000064</v>
      </c>
      <c r="R210" s="8">
        <f t="shared" ca="1" si="45"/>
        <v>-2.2940205817973874E-2</v>
      </c>
      <c r="S210" s="8">
        <f t="shared" ca="1" si="46"/>
        <v>5.325495919908696</v>
      </c>
      <c r="T210" s="8">
        <f t="shared" ca="1" si="47"/>
        <v>6.8494236375589512</v>
      </c>
    </row>
    <row r="211" spans="1:20" x14ac:dyDescent="0.25">
      <c r="A211" s="7">
        <f>A210+dt</f>
        <v>10.000000000000007</v>
      </c>
      <c r="B211" s="8">
        <f t="shared" ca="1" si="36"/>
        <v>-1.8993850665111209E-2</v>
      </c>
      <c r="C211" s="8">
        <f ca="1">lambda*(a-B210)*dt</f>
        <v>2.2940205817973875E-3</v>
      </c>
      <c r="D211" s="8">
        <f ca="1">sigma*SQRT(dt)*_xlfn.NORM.S.INV(RAND())</f>
        <v>1.6523345710652765E-3</v>
      </c>
      <c r="E211" s="8">
        <f t="shared" ca="1" si="37"/>
        <v>3.9463551528626638E-3</v>
      </c>
      <c r="G211" s="8">
        <f t="shared" ca="1" si="38"/>
        <v>5.3296482544797614</v>
      </c>
      <c r="H211" s="8">
        <f>mu*dt</f>
        <v>2.5000000000000005E-3</v>
      </c>
      <c r="I211" s="8">
        <f t="shared" ca="1" si="39"/>
        <v>1.6523345710652765E-3</v>
      </c>
      <c r="J211" s="8">
        <f t="shared" ca="1" si="40"/>
        <v>4.1523345710652772E-3</v>
      </c>
      <c r="L211" s="8">
        <f t="shared" ca="1" si="41"/>
        <v>6.877864736121059</v>
      </c>
      <c r="M211" s="8">
        <f ca="1">mu*L210*dt</f>
        <v>1.7123559093897379E-2</v>
      </c>
      <c r="N211" s="8">
        <f t="shared" ca="1" si="42"/>
        <v>1.1317539468210337E-2</v>
      </c>
      <c r="O211" s="8">
        <f t="shared" ca="1" si="43"/>
        <v>2.8441098562107716E-2</v>
      </c>
      <c r="Q211" s="7">
        <f t="shared" si="44"/>
        <v>10.000000000000007</v>
      </c>
      <c r="R211" s="8">
        <f t="shared" ca="1" si="45"/>
        <v>-1.8993850665111209E-2</v>
      </c>
      <c r="S211" s="8">
        <f t="shared" ca="1" si="46"/>
        <v>5.3296482544797614</v>
      </c>
      <c r="T211" s="8">
        <f t="shared" ca="1" si="47"/>
        <v>6.877864736121059</v>
      </c>
    </row>
    <row r="212" spans="1:20" x14ac:dyDescent="0.25">
      <c r="A212" s="7">
        <f>A211+dt</f>
        <v>10.050000000000008</v>
      </c>
      <c r="B212" s="8">
        <f t="shared" ca="1" si="36"/>
        <v>-2.970558947882352E-2</v>
      </c>
      <c r="C212" s="8">
        <f ca="1">lambda*(a-B211)*dt</f>
        <v>1.899385066511121E-3</v>
      </c>
      <c r="D212" s="8">
        <f ca="1">sigma*SQRT(dt)*_xlfn.NORM.S.INV(RAND())</f>
        <v>-1.2611123880223434E-2</v>
      </c>
      <c r="E212" s="8">
        <f t="shared" ca="1" si="37"/>
        <v>-1.0711738813712313E-2</v>
      </c>
      <c r="G212" s="8">
        <f t="shared" ca="1" si="38"/>
        <v>5.3195371305995378</v>
      </c>
      <c r="H212" s="8">
        <f>mu*dt</f>
        <v>2.5000000000000005E-3</v>
      </c>
      <c r="I212" s="8">
        <f t="shared" ca="1" si="39"/>
        <v>-1.2611123880223434E-2</v>
      </c>
      <c r="J212" s="8">
        <f t="shared" ca="1" si="40"/>
        <v>-1.0111123880223434E-2</v>
      </c>
      <c r="L212" s="8">
        <f t="shared" ca="1" si="41"/>
        <v>6.808321793742719</v>
      </c>
      <c r="M212" s="8">
        <f ca="1">mu*L211*dt</f>
        <v>1.719466184030265E-2</v>
      </c>
      <c r="N212" s="8">
        <f t="shared" ca="1" si="42"/>
        <v>-8.6737604218642933E-2</v>
      </c>
      <c r="O212" s="8">
        <f t="shared" ca="1" si="43"/>
        <v>-6.9542942378340286E-2</v>
      </c>
      <c r="Q212" s="7">
        <f t="shared" si="44"/>
        <v>10.050000000000008</v>
      </c>
      <c r="R212" s="8">
        <f t="shared" ca="1" si="45"/>
        <v>-2.970558947882352E-2</v>
      </c>
      <c r="S212" s="8">
        <f t="shared" ca="1" si="46"/>
        <v>5.3195371305995378</v>
      </c>
      <c r="T212" s="8">
        <f t="shared" ca="1" si="47"/>
        <v>6.808321793742719</v>
      </c>
    </row>
    <row r="213" spans="1:20" x14ac:dyDescent="0.25">
      <c r="A213" s="7">
        <f>A212+dt</f>
        <v>10.100000000000009</v>
      </c>
      <c r="B213" s="8">
        <f t="shared" ca="1" si="36"/>
        <v>-2.5385046215920005E-2</v>
      </c>
      <c r="C213" s="8">
        <f ca="1">lambda*(a-B212)*dt</f>
        <v>2.9705589478823523E-3</v>
      </c>
      <c r="D213" s="8">
        <f ca="1">sigma*SQRT(dt)*_xlfn.NORM.S.INV(RAND())</f>
        <v>1.3499843150211607E-3</v>
      </c>
      <c r="E213" s="8">
        <f t="shared" ca="1" si="37"/>
        <v>4.3205432629035128E-3</v>
      </c>
      <c r="G213" s="8">
        <f t="shared" ca="1" si="38"/>
        <v>5.3233871149145591</v>
      </c>
      <c r="H213" s="8">
        <f>mu*dt</f>
        <v>2.5000000000000005E-3</v>
      </c>
      <c r="I213" s="8">
        <f t="shared" ca="1" si="39"/>
        <v>1.3499843150211607E-3</v>
      </c>
      <c r="J213" s="8">
        <f t="shared" ca="1" si="40"/>
        <v>3.8499843150211609E-3</v>
      </c>
      <c r="L213" s="8">
        <f t="shared" ca="1" si="41"/>
        <v>6.8345337258602452</v>
      </c>
      <c r="M213" s="8">
        <f ca="1">mu*L212*dt</f>
        <v>1.7020804484356802E-2</v>
      </c>
      <c r="N213" s="8">
        <f t="shared" ca="1" si="42"/>
        <v>9.1911276331694044E-3</v>
      </c>
      <c r="O213" s="8">
        <f t="shared" ca="1" si="43"/>
        <v>2.6211932117526204E-2</v>
      </c>
      <c r="Q213" s="7">
        <f t="shared" si="44"/>
        <v>10.100000000000009</v>
      </c>
      <c r="R213" s="8">
        <f t="shared" ca="1" si="45"/>
        <v>-2.5385046215920005E-2</v>
      </c>
      <c r="S213" s="8">
        <f t="shared" ca="1" si="46"/>
        <v>5.3233871149145591</v>
      </c>
      <c r="T213" s="8">
        <f t="shared" ca="1" si="47"/>
        <v>6.8345337258602452</v>
      </c>
    </row>
    <row r="214" spans="1:20" x14ac:dyDescent="0.25">
      <c r="A214" s="7">
        <f>A213+dt</f>
        <v>10.150000000000009</v>
      </c>
      <c r="B214" s="8">
        <f t="shared" ca="1" si="36"/>
        <v>-2.2704514914814396E-2</v>
      </c>
      <c r="C214" s="8">
        <f ca="1">lambda*(a-B213)*dt</f>
        <v>2.5385046215920005E-3</v>
      </c>
      <c r="D214" s="8">
        <f ca="1">sigma*SQRT(dt)*_xlfn.NORM.S.INV(RAND())</f>
        <v>1.4202667951360964E-4</v>
      </c>
      <c r="E214" s="8">
        <f t="shared" ca="1" si="37"/>
        <v>2.6805313011056104E-3</v>
      </c>
      <c r="G214" s="8">
        <f t="shared" ca="1" si="38"/>
        <v>5.3260291415940726</v>
      </c>
      <c r="H214" s="8">
        <f>mu*dt</f>
        <v>2.5000000000000005E-3</v>
      </c>
      <c r="I214" s="8">
        <f t="shared" ca="1" si="39"/>
        <v>1.4202667951360964E-4</v>
      </c>
      <c r="J214" s="8">
        <f t="shared" ca="1" si="40"/>
        <v>2.6420266795136103E-3</v>
      </c>
      <c r="L214" s="8">
        <f t="shared" ca="1" si="41"/>
        <v>6.8525907463060038</v>
      </c>
      <c r="M214" s="8">
        <f ca="1">mu*L213*dt</f>
        <v>1.7086334314650616E-2</v>
      </c>
      <c r="N214" s="8">
        <f t="shared" ca="1" si="42"/>
        <v>9.7068613110770944E-4</v>
      </c>
      <c r="O214" s="8">
        <f t="shared" ca="1" si="43"/>
        <v>1.8057020445758326E-2</v>
      </c>
      <c r="Q214" s="7">
        <f t="shared" si="44"/>
        <v>10.150000000000009</v>
      </c>
      <c r="R214" s="8">
        <f t="shared" ca="1" si="45"/>
        <v>-2.2704514914814396E-2</v>
      </c>
      <c r="S214" s="8">
        <f t="shared" ca="1" si="46"/>
        <v>5.3260291415940726</v>
      </c>
      <c r="T214" s="8">
        <f t="shared" ca="1" si="47"/>
        <v>6.8525907463060038</v>
      </c>
    </row>
    <row r="215" spans="1:20" x14ac:dyDescent="0.25">
      <c r="A215" s="7">
        <f>A214+dt</f>
        <v>10.20000000000001</v>
      </c>
      <c r="B215" s="8">
        <f t="shared" ca="1" si="36"/>
        <v>-2.5727058172893065E-2</v>
      </c>
      <c r="C215" s="8">
        <f ca="1">lambda*(a-B214)*dt</f>
        <v>2.2704514914814399E-3</v>
      </c>
      <c r="D215" s="8">
        <f ca="1">sigma*SQRT(dt)*_xlfn.NORM.S.INV(RAND())</f>
        <v>-5.2929947495601072E-3</v>
      </c>
      <c r="E215" s="8">
        <f t="shared" ca="1" si="37"/>
        <v>-3.0225432580786673E-3</v>
      </c>
      <c r="G215" s="8">
        <f t="shared" ca="1" si="38"/>
        <v>5.3232361468445122</v>
      </c>
      <c r="H215" s="8">
        <f>mu*dt</f>
        <v>2.5000000000000005E-3</v>
      </c>
      <c r="I215" s="8">
        <f t="shared" ca="1" si="39"/>
        <v>-5.2929947495601072E-3</v>
      </c>
      <c r="J215" s="8">
        <f t="shared" ca="1" si="40"/>
        <v>-2.7929947495601067E-3</v>
      </c>
      <c r="L215" s="8">
        <f t="shared" ca="1" si="41"/>
        <v>6.8334514963306869</v>
      </c>
      <c r="M215" s="8">
        <f ca="1">mu*L214*dt</f>
        <v>1.7131476865765011E-2</v>
      </c>
      <c r="N215" s="8">
        <f t="shared" ca="1" si="42"/>
        <v>-3.6270726841081853E-2</v>
      </c>
      <c r="O215" s="8">
        <f t="shared" ca="1" si="43"/>
        <v>-1.9139249975316842E-2</v>
      </c>
      <c r="Q215" s="7">
        <f t="shared" si="44"/>
        <v>10.20000000000001</v>
      </c>
      <c r="R215" s="8">
        <f t="shared" ca="1" si="45"/>
        <v>-2.5727058172893065E-2</v>
      </c>
      <c r="S215" s="8">
        <f t="shared" ca="1" si="46"/>
        <v>5.3232361468445122</v>
      </c>
      <c r="T215" s="8">
        <f t="shared" ca="1" si="47"/>
        <v>6.8334514963306869</v>
      </c>
    </row>
    <row r="216" spans="1:20" x14ac:dyDescent="0.25">
      <c r="A216" s="7">
        <f>A215+dt</f>
        <v>10.250000000000011</v>
      </c>
      <c r="B216" s="8">
        <f t="shared" ca="1" si="36"/>
        <v>-2.6876748536793178E-2</v>
      </c>
      <c r="C216" s="8">
        <f ca="1">lambda*(a-B215)*dt</f>
        <v>2.5727058172893068E-3</v>
      </c>
      <c r="D216" s="8">
        <f ca="1">sigma*SQRT(dt)*_xlfn.NORM.S.INV(RAND())</f>
        <v>-3.7223961811894218E-3</v>
      </c>
      <c r="E216" s="8">
        <f t="shared" ca="1" si="37"/>
        <v>-1.149690363900115E-3</v>
      </c>
      <c r="G216" s="8">
        <f t="shared" ca="1" si="38"/>
        <v>5.3220137506633227</v>
      </c>
      <c r="H216" s="8">
        <f>mu*dt</f>
        <v>2.5000000000000005E-3</v>
      </c>
      <c r="I216" s="8">
        <f t="shared" ca="1" si="39"/>
        <v>-3.7223961811894218E-3</v>
      </c>
      <c r="J216" s="8">
        <f t="shared" ca="1" si="40"/>
        <v>-1.2223961811894213E-3</v>
      </c>
      <c r="L216" s="8">
        <f t="shared" ca="1" si="41"/>
        <v>6.8250983113172294</v>
      </c>
      <c r="M216" s="8">
        <f ca="1">mu*L215*dt</f>
        <v>1.7083628740826719E-2</v>
      </c>
      <c r="N216" s="8">
        <f t="shared" ca="1" si="42"/>
        <v>-2.5436813754284488E-2</v>
      </c>
      <c r="O216" s="8">
        <f t="shared" ca="1" si="43"/>
        <v>-8.3531850134577687E-3</v>
      </c>
      <c r="Q216" s="7">
        <f t="shared" si="44"/>
        <v>10.250000000000011</v>
      </c>
      <c r="R216" s="8">
        <f t="shared" ca="1" si="45"/>
        <v>-2.6876748536793178E-2</v>
      </c>
      <c r="S216" s="8">
        <f t="shared" ca="1" si="46"/>
        <v>5.3220137506633227</v>
      </c>
      <c r="T216" s="8">
        <f t="shared" ca="1" si="47"/>
        <v>6.8250983113172294</v>
      </c>
    </row>
    <row r="217" spans="1:20" x14ac:dyDescent="0.25">
      <c r="A217" s="7">
        <f>A216+dt</f>
        <v>10.300000000000011</v>
      </c>
      <c r="B217" s="8">
        <f t="shared" ca="1" si="36"/>
        <v>-3.0791609858712599E-2</v>
      </c>
      <c r="C217" s="8">
        <f ca="1">lambda*(a-B216)*dt</f>
        <v>2.6876748536793179E-3</v>
      </c>
      <c r="D217" s="8">
        <f ca="1">sigma*SQRT(dt)*_xlfn.NORM.S.INV(RAND())</f>
        <v>-6.6025361755987387E-3</v>
      </c>
      <c r="E217" s="8">
        <f t="shared" ca="1" si="37"/>
        <v>-3.9148613219194203E-3</v>
      </c>
      <c r="G217" s="8">
        <f t="shared" ca="1" si="38"/>
        <v>5.3179112144877241</v>
      </c>
      <c r="H217" s="8">
        <f>mu*dt</f>
        <v>2.5000000000000005E-3</v>
      </c>
      <c r="I217" s="8">
        <f t="shared" ca="1" si="39"/>
        <v>-6.6025361755987387E-3</v>
      </c>
      <c r="J217" s="8">
        <f t="shared" ca="1" si="40"/>
        <v>-4.1025361755987382E-3</v>
      </c>
      <c r="L217" s="8">
        <f t="shared" ca="1" si="41"/>
        <v>6.7970980985930325</v>
      </c>
      <c r="M217" s="8">
        <f ca="1">mu*L216*dt</f>
        <v>1.7062745778293077E-2</v>
      </c>
      <c r="N217" s="8">
        <f t="shared" ca="1" si="42"/>
        <v>-4.5062958502489869E-2</v>
      </c>
      <c r="O217" s="8">
        <f t="shared" ca="1" si="43"/>
        <v>-2.8000212724196793E-2</v>
      </c>
      <c r="Q217" s="7">
        <f t="shared" si="44"/>
        <v>10.300000000000011</v>
      </c>
      <c r="R217" s="8">
        <f t="shared" ca="1" si="45"/>
        <v>-3.0791609858712599E-2</v>
      </c>
      <c r="S217" s="8">
        <f t="shared" ca="1" si="46"/>
        <v>5.3179112144877241</v>
      </c>
      <c r="T217" s="8">
        <f t="shared" ca="1" si="47"/>
        <v>6.7970980985930325</v>
      </c>
    </row>
    <row r="218" spans="1:20" x14ac:dyDescent="0.25">
      <c r="A218" s="7">
        <f>A217+dt</f>
        <v>10.350000000000012</v>
      </c>
      <c r="B218" s="8">
        <f t="shared" ca="1" si="36"/>
        <v>-1.4545568365186275E-2</v>
      </c>
      <c r="C218" s="8">
        <f ca="1">lambda*(a-B217)*dt</f>
        <v>3.0791609858712601E-3</v>
      </c>
      <c r="D218" s="8">
        <f ca="1">sigma*SQRT(dt)*_xlfn.NORM.S.INV(RAND())</f>
        <v>1.3166880507655064E-2</v>
      </c>
      <c r="E218" s="8">
        <f t="shared" ca="1" si="37"/>
        <v>1.6246041493526323E-2</v>
      </c>
      <c r="G218" s="8">
        <f t="shared" ca="1" si="38"/>
        <v>5.3335780949953788</v>
      </c>
      <c r="H218" s="8">
        <f>mu*dt</f>
        <v>2.5000000000000005E-3</v>
      </c>
      <c r="I218" s="8">
        <f t="shared" ca="1" si="39"/>
        <v>1.3166880507655064E-2</v>
      </c>
      <c r="J218" s="8">
        <f t="shared" ca="1" si="40"/>
        <v>1.5666880507655065E-2</v>
      </c>
      <c r="L218" s="8">
        <f t="shared" ca="1" si="41"/>
        <v>6.9035874223024987</v>
      </c>
      <c r="M218" s="8">
        <f ca="1">mu*L217*dt</f>
        <v>1.6992745246482584E-2</v>
      </c>
      <c r="N218" s="8">
        <f t="shared" ca="1" si="42"/>
        <v>8.9496578462983895E-2</v>
      </c>
      <c r="O218" s="8">
        <f t="shared" ca="1" si="43"/>
        <v>0.10648932370946648</v>
      </c>
      <c r="Q218" s="7">
        <f t="shared" si="44"/>
        <v>10.350000000000012</v>
      </c>
      <c r="R218" s="8">
        <f t="shared" ca="1" si="45"/>
        <v>-1.4545568365186275E-2</v>
      </c>
      <c r="S218" s="8">
        <f t="shared" ca="1" si="46"/>
        <v>5.3335780949953788</v>
      </c>
      <c r="T218" s="8">
        <f t="shared" ca="1" si="47"/>
        <v>6.9035874223024987</v>
      </c>
    </row>
    <row r="219" spans="1:20" x14ac:dyDescent="0.25">
      <c r="A219" s="7">
        <f>A218+dt</f>
        <v>10.400000000000013</v>
      </c>
      <c r="B219" s="8">
        <f t="shared" ca="1" si="36"/>
        <v>3.6962486663737783E-3</v>
      </c>
      <c r="C219" s="8">
        <f ca="1">lambda*(a-B218)*dt</f>
        <v>1.4545568365186277E-3</v>
      </c>
      <c r="D219" s="8">
        <f ca="1">sigma*SQRT(dt)*_xlfn.NORM.S.INV(RAND())</f>
        <v>1.6787260195041426E-2</v>
      </c>
      <c r="E219" s="8">
        <f t="shared" ca="1" si="37"/>
        <v>1.8241817031560054E-2</v>
      </c>
      <c r="G219" s="8">
        <f t="shared" ca="1" si="38"/>
        <v>5.3528653551904206</v>
      </c>
      <c r="H219" s="8">
        <f>mu*dt</f>
        <v>2.5000000000000005E-3</v>
      </c>
      <c r="I219" s="8">
        <f t="shared" ca="1" si="39"/>
        <v>1.6787260195041426E-2</v>
      </c>
      <c r="J219" s="8">
        <f t="shared" ca="1" si="40"/>
        <v>1.9287260195041428E-2</v>
      </c>
      <c r="L219" s="8">
        <f t="shared" ca="1" si="41"/>
        <v>7.0367387091956619</v>
      </c>
      <c r="M219" s="8">
        <f ca="1">mu*L218*dt</f>
        <v>1.725896855575625E-2</v>
      </c>
      <c r="N219" s="8">
        <f t="shared" ca="1" si="42"/>
        <v>0.11589231833740737</v>
      </c>
      <c r="O219" s="8">
        <f t="shared" ca="1" si="43"/>
        <v>0.13315128689316363</v>
      </c>
      <c r="Q219" s="7">
        <f t="shared" si="44"/>
        <v>10.400000000000013</v>
      </c>
      <c r="R219" s="8">
        <f t="shared" ca="1" si="45"/>
        <v>3.6962486663737783E-3</v>
      </c>
      <c r="S219" s="8">
        <f t="shared" ca="1" si="46"/>
        <v>5.3528653551904206</v>
      </c>
      <c r="T219" s="8">
        <f t="shared" ca="1" si="47"/>
        <v>7.0367387091956619</v>
      </c>
    </row>
    <row r="220" spans="1:20" x14ac:dyDescent="0.25">
      <c r="A220" s="7">
        <f>A219+dt</f>
        <v>10.450000000000014</v>
      </c>
      <c r="B220" s="8">
        <f t="shared" ca="1" si="36"/>
        <v>6.3843414122319482E-3</v>
      </c>
      <c r="C220" s="8">
        <f ca="1">lambda*(a-B219)*dt</f>
        <v>-3.6962486663737784E-4</v>
      </c>
      <c r="D220" s="8">
        <f ca="1">sigma*SQRT(dt)*_xlfn.NORM.S.INV(RAND())</f>
        <v>3.0577176124955479E-3</v>
      </c>
      <c r="E220" s="8">
        <f t="shared" ca="1" si="37"/>
        <v>2.6880927458581699E-3</v>
      </c>
      <c r="G220" s="8">
        <f t="shared" ca="1" si="38"/>
        <v>5.3584230728029159</v>
      </c>
      <c r="H220" s="8">
        <f>mu*dt</f>
        <v>2.5000000000000005E-3</v>
      </c>
      <c r="I220" s="8">
        <f t="shared" ca="1" si="39"/>
        <v>3.0577176124955479E-3</v>
      </c>
      <c r="J220" s="8">
        <f t="shared" ca="1" si="40"/>
        <v>5.5577176124955484E-3</v>
      </c>
      <c r="L220" s="8">
        <f t="shared" ca="1" si="41"/>
        <v>7.0758469158542878</v>
      </c>
      <c r="M220" s="8">
        <f ca="1">mu*L219*dt</f>
        <v>1.7591846772989157E-2</v>
      </c>
      <c r="N220" s="8">
        <f t="shared" ca="1" si="42"/>
        <v>2.1516359885636764E-2</v>
      </c>
      <c r="O220" s="8">
        <f t="shared" ca="1" si="43"/>
        <v>3.9108206658625924E-2</v>
      </c>
      <c r="Q220" s="7">
        <f t="shared" si="44"/>
        <v>10.450000000000014</v>
      </c>
      <c r="R220" s="8">
        <f t="shared" ca="1" si="45"/>
        <v>6.3843414122319482E-3</v>
      </c>
      <c r="S220" s="8">
        <f t="shared" ca="1" si="46"/>
        <v>5.3584230728029159</v>
      </c>
      <c r="T220" s="8">
        <f t="shared" ca="1" si="47"/>
        <v>7.0758469158542878</v>
      </c>
    </row>
    <row r="221" spans="1:20" x14ac:dyDescent="0.25">
      <c r="A221" s="7">
        <f>A220+dt</f>
        <v>10.500000000000014</v>
      </c>
      <c r="B221" s="8">
        <f t="shared" ca="1" si="36"/>
        <v>9.0780118692912852E-3</v>
      </c>
      <c r="C221" s="8">
        <f ca="1">lambda*(a-B220)*dt</f>
        <v>-6.3843414122319482E-4</v>
      </c>
      <c r="D221" s="8">
        <f ca="1">sigma*SQRT(dt)*_xlfn.NORM.S.INV(RAND())</f>
        <v>3.332104598282531E-3</v>
      </c>
      <c r="E221" s="8">
        <f t="shared" ca="1" si="37"/>
        <v>2.6936704570593361E-3</v>
      </c>
      <c r="G221" s="8">
        <f t="shared" ca="1" si="38"/>
        <v>5.3642551774011986</v>
      </c>
      <c r="H221" s="8">
        <f>mu*dt</f>
        <v>2.5000000000000005E-3</v>
      </c>
      <c r="I221" s="8">
        <f t="shared" ca="1" si="39"/>
        <v>3.332104598282531E-3</v>
      </c>
      <c r="J221" s="8">
        <f t="shared" ca="1" si="40"/>
        <v>5.8321045982825314E-3</v>
      </c>
      <c r="L221" s="8">
        <f t="shared" ca="1" si="41"/>
        <v>7.1171139951889852</v>
      </c>
      <c r="M221" s="8">
        <f ca="1">mu*L220*dt</f>
        <v>1.7689617289635719E-2</v>
      </c>
      <c r="N221" s="8">
        <f t="shared" ca="1" si="42"/>
        <v>2.3577462045061337E-2</v>
      </c>
      <c r="O221" s="8">
        <f t="shared" ca="1" si="43"/>
        <v>4.126707933469706E-2</v>
      </c>
      <c r="Q221" s="7">
        <f t="shared" si="44"/>
        <v>10.500000000000014</v>
      </c>
      <c r="R221" s="8">
        <f t="shared" ca="1" si="45"/>
        <v>9.0780118692912852E-3</v>
      </c>
      <c r="S221" s="8">
        <f t="shared" ca="1" si="46"/>
        <v>5.3642551774011986</v>
      </c>
      <c r="T221" s="8">
        <f t="shared" ca="1" si="47"/>
        <v>7.1171139951889852</v>
      </c>
    </row>
    <row r="222" spans="1:20" x14ac:dyDescent="0.25">
      <c r="A222" s="7">
        <f>A221+dt</f>
        <v>10.550000000000015</v>
      </c>
      <c r="B222" s="8">
        <f t="shared" ca="1" si="36"/>
        <v>8.0938131171195676E-3</v>
      </c>
      <c r="C222" s="8">
        <f ca="1">lambda*(a-B221)*dt</f>
        <v>-9.0780118692912861E-4</v>
      </c>
      <c r="D222" s="8">
        <f ca="1">sigma*SQRT(dt)*_xlfn.NORM.S.INV(RAND())</f>
        <v>-7.6397565242589775E-5</v>
      </c>
      <c r="E222" s="8">
        <f t="shared" ca="1" si="37"/>
        <v>-9.8419875217171829E-4</v>
      </c>
      <c r="G222" s="8">
        <f t="shared" ca="1" si="38"/>
        <v>5.3666787798359561</v>
      </c>
      <c r="H222" s="8">
        <f>mu*dt</f>
        <v>2.5000000000000005E-3</v>
      </c>
      <c r="I222" s="8">
        <f t="shared" ca="1" si="39"/>
        <v>-7.6397565242589775E-5</v>
      </c>
      <c r="J222" s="8">
        <f t="shared" ca="1" si="40"/>
        <v>2.4236024347574106E-3</v>
      </c>
      <c r="L222" s="8">
        <f t="shared" ca="1" si="41"/>
        <v>7.1343630499961712</v>
      </c>
      <c r="M222" s="8">
        <f ca="1">mu*L221*dt</f>
        <v>1.7792784987972467E-2</v>
      </c>
      <c r="N222" s="8">
        <f t="shared" ca="1" si="42"/>
        <v>-5.4373018078639928E-4</v>
      </c>
      <c r="O222" s="8">
        <f t="shared" ca="1" si="43"/>
        <v>1.7249054807186068E-2</v>
      </c>
      <c r="Q222" s="7">
        <f t="shared" si="44"/>
        <v>10.550000000000015</v>
      </c>
      <c r="R222" s="8">
        <f t="shared" ca="1" si="45"/>
        <v>8.0938131171195676E-3</v>
      </c>
      <c r="S222" s="8">
        <f t="shared" ca="1" si="46"/>
        <v>5.3666787798359561</v>
      </c>
      <c r="T222" s="8">
        <f t="shared" ca="1" si="47"/>
        <v>7.1343630499961712</v>
      </c>
    </row>
    <row r="223" spans="1:20" x14ac:dyDescent="0.25">
      <c r="A223" s="7">
        <f>A222+dt</f>
        <v>10.600000000000016</v>
      </c>
      <c r="B223" s="8">
        <f t="shared" ca="1" si="36"/>
        <v>2.7249643538579865E-2</v>
      </c>
      <c r="C223" s="8">
        <f ca="1">lambda*(a-B222)*dt</f>
        <v>-8.0938131171195678E-4</v>
      </c>
      <c r="D223" s="8">
        <f ca="1">sigma*SQRT(dt)*_xlfn.NORM.S.INV(RAND())</f>
        <v>1.9965211733172252E-2</v>
      </c>
      <c r="E223" s="8">
        <f t="shared" ca="1" si="37"/>
        <v>1.9155830421460296E-2</v>
      </c>
      <c r="G223" s="8">
        <f t="shared" ca="1" si="38"/>
        <v>5.3891439915691279</v>
      </c>
      <c r="H223" s="8">
        <f>mu*dt</f>
        <v>2.5000000000000005E-3</v>
      </c>
      <c r="I223" s="8">
        <f t="shared" ca="1" si="39"/>
        <v>1.9965211733172252E-2</v>
      </c>
      <c r="J223" s="8">
        <f t="shared" ca="1" si="40"/>
        <v>2.2465211733172251E-2</v>
      </c>
      <c r="L223" s="8">
        <f t="shared" ca="1" si="41"/>
        <v>7.2946380264956554</v>
      </c>
      <c r="M223" s="8">
        <f ca="1">mu*L222*dt</f>
        <v>1.7835907624990429E-2</v>
      </c>
      <c r="N223" s="8">
        <f t="shared" ca="1" si="42"/>
        <v>0.14243906887449415</v>
      </c>
      <c r="O223" s="8">
        <f t="shared" ca="1" si="43"/>
        <v>0.16027497649948458</v>
      </c>
      <c r="Q223" s="7">
        <f t="shared" si="44"/>
        <v>10.600000000000016</v>
      </c>
      <c r="R223" s="8">
        <f t="shared" ca="1" si="45"/>
        <v>2.7249643538579865E-2</v>
      </c>
      <c r="S223" s="8">
        <f t="shared" ca="1" si="46"/>
        <v>5.3891439915691279</v>
      </c>
      <c r="T223" s="8">
        <f t="shared" ca="1" si="47"/>
        <v>7.2946380264956554</v>
      </c>
    </row>
    <row r="224" spans="1:20" x14ac:dyDescent="0.25">
      <c r="A224" s="7">
        <f>A223+dt</f>
        <v>10.650000000000016</v>
      </c>
      <c r="B224" s="8">
        <f t="shared" ca="1" si="36"/>
        <v>3.6678032554918451E-2</v>
      </c>
      <c r="C224" s="8">
        <f ca="1">lambda*(a-B223)*dt</f>
        <v>-2.7249643538579866E-3</v>
      </c>
      <c r="D224" s="8">
        <f ca="1">sigma*SQRT(dt)*_xlfn.NORM.S.INV(RAND())</f>
        <v>1.2153353370196572E-2</v>
      </c>
      <c r="E224" s="8">
        <f t="shared" ca="1" si="37"/>
        <v>9.4283890163385856E-3</v>
      </c>
      <c r="G224" s="8">
        <f t="shared" ca="1" si="38"/>
        <v>5.4037973449393242</v>
      </c>
      <c r="H224" s="8">
        <f>mu*dt</f>
        <v>2.5000000000000005E-3</v>
      </c>
      <c r="I224" s="8">
        <f t="shared" ca="1" si="39"/>
        <v>1.2153353370196572E-2</v>
      </c>
      <c r="J224" s="8">
        <f t="shared" ca="1" si="40"/>
        <v>1.4653353370196572E-2</v>
      </c>
      <c r="L224" s="8">
        <f t="shared" ca="1" si="41"/>
        <v>7.4015289352055698</v>
      </c>
      <c r="M224" s="8">
        <f ca="1">mu*L223*dt</f>
        <v>1.823659506623914E-2</v>
      </c>
      <c r="N224" s="8">
        <f t="shared" ca="1" si="42"/>
        <v>8.8654313643675042E-2</v>
      </c>
      <c r="O224" s="8">
        <f t="shared" ca="1" si="43"/>
        <v>0.10689090870991419</v>
      </c>
      <c r="Q224" s="7">
        <f t="shared" si="44"/>
        <v>10.650000000000016</v>
      </c>
      <c r="R224" s="8">
        <f t="shared" ca="1" si="45"/>
        <v>3.6678032554918451E-2</v>
      </c>
      <c r="S224" s="8">
        <f t="shared" ca="1" si="46"/>
        <v>5.4037973449393242</v>
      </c>
      <c r="T224" s="8">
        <f t="shared" ca="1" si="47"/>
        <v>7.4015289352055698</v>
      </c>
    </row>
    <row r="225" spans="1:20" x14ac:dyDescent="0.25">
      <c r="A225" s="7">
        <f>A224+dt</f>
        <v>10.700000000000017</v>
      </c>
      <c r="B225" s="8">
        <f t="shared" ca="1" si="36"/>
        <v>3.7232571144018782E-2</v>
      </c>
      <c r="C225" s="8">
        <f ca="1">lambda*(a-B224)*dt</f>
        <v>-3.6678032554918454E-3</v>
      </c>
      <c r="D225" s="8">
        <f ca="1">sigma*SQRT(dt)*_xlfn.NORM.S.INV(RAND())</f>
        <v>4.222341844592175E-3</v>
      </c>
      <c r="E225" s="8">
        <f t="shared" ca="1" si="37"/>
        <v>5.5453858910032953E-4</v>
      </c>
      <c r="G225" s="8">
        <f t="shared" ca="1" si="38"/>
        <v>5.4105196867839167</v>
      </c>
      <c r="H225" s="8">
        <f>mu*dt</f>
        <v>2.5000000000000005E-3</v>
      </c>
      <c r="I225" s="8">
        <f t="shared" ca="1" si="39"/>
        <v>4.222341844592175E-3</v>
      </c>
      <c r="J225" s="8">
        <f t="shared" ca="1" si="40"/>
        <v>6.7223418445921754E-3</v>
      </c>
      <c r="L225" s="8">
        <f t="shared" ca="1" si="41"/>
        <v>7.4512845428806616</v>
      </c>
      <c r="M225" s="8">
        <f ca="1">mu*L224*dt</f>
        <v>1.8503822338013926E-2</v>
      </c>
      <c r="N225" s="8">
        <f t="shared" ca="1" si="42"/>
        <v>3.1251785337078244E-2</v>
      </c>
      <c r="O225" s="8">
        <f t="shared" ca="1" si="43"/>
        <v>4.975560767509217E-2</v>
      </c>
      <c r="Q225" s="7">
        <f t="shared" si="44"/>
        <v>10.700000000000017</v>
      </c>
      <c r="R225" s="8">
        <f t="shared" ca="1" si="45"/>
        <v>3.7232571144018782E-2</v>
      </c>
      <c r="S225" s="8">
        <f t="shared" ca="1" si="46"/>
        <v>5.4105196867839167</v>
      </c>
      <c r="T225" s="8">
        <f t="shared" ca="1" si="47"/>
        <v>7.4512845428806616</v>
      </c>
    </row>
    <row r="226" spans="1:20" x14ac:dyDescent="0.25">
      <c r="A226" s="7">
        <f>A225+dt</f>
        <v>10.750000000000018</v>
      </c>
      <c r="B226" s="8">
        <f t="shared" ca="1" si="36"/>
        <v>3.2567152267732456E-2</v>
      </c>
      <c r="C226" s="8">
        <f ca="1">lambda*(a-B225)*dt</f>
        <v>-3.7232571144018784E-3</v>
      </c>
      <c r="D226" s="8">
        <f ca="1">sigma*SQRT(dt)*_xlfn.NORM.S.INV(RAND())</f>
        <v>-9.4216176188444828E-4</v>
      </c>
      <c r="E226" s="8">
        <f t="shared" ca="1" si="37"/>
        <v>-4.6654188762863267E-3</v>
      </c>
      <c r="G226" s="8">
        <f t="shared" ca="1" si="38"/>
        <v>5.4120775250220321</v>
      </c>
      <c r="H226" s="8">
        <f>mu*dt</f>
        <v>2.5000000000000005E-3</v>
      </c>
      <c r="I226" s="8">
        <f t="shared" ca="1" si="39"/>
        <v>-9.4216176188444828E-4</v>
      </c>
      <c r="J226" s="8">
        <f t="shared" ca="1" si="40"/>
        <v>1.5578382381155522E-3</v>
      </c>
      <c r="L226" s="8">
        <f t="shared" ca="1" si="41"/>
        <v>7.4628924388646407</v>
      </c>
      <c r="M226" s="8">
        <f ca="1">mu*L225*dt</f>
        <v>1.8628211357201656E-2</v>
      </c>
      <c r="N226" s="8">
        <f t="shared" ca="1" si="42"/>
        <v>-7.0203153732227999E-3</v>
      </c>
      <c r="O226" s="8">
        <f t="shared" ca="1" si="43"/>
        <v>1.1607895983978857E-2</v>
      </c>
      <c r="Q226" s="7">
        <f t="shared" si="44"/>
        <v>10.750000000000018</v>
      </c>
      <c r="R226" s="8">
        <f t="shared" ca="1" si="45"/>
        <v>3.2567152267732456E-2</v>
      </c>
      <c r="S226" s="8">
        <f t="shared" ca="1" si="46"/>
        <v>5.4120775250220321</v>
      </c>
      <c r="T226" s="8">
        <f t="shared" ca="1" si="47"/>
        <v>7.4628924388646407</v>
      </c>
    </row>
    <row r="227" spans="1:20" x14ac:dyDescent="0.25">
      <c r="A227" s="7">
        <f>A226+dt</f>
        <v>10.800000000000018</v>
      </c>
      <c r="B227" s="8">
        <f t="shared" ca="1" si="36"/>
        <v>2.7993684128636672E-2</v>
      </c>
      <c r="C227" s="8">
        <f ca="1">lambda*(a-B226)*dt</f>
        <v>-3.2567152267732459E-3</v>
      </c>
      <c r="D227" s="8">
        <f ca="1">sigma*SQRT(dt)*_xlfn.NORM.S.INV(RAND())</f>
        <v>-1.3167529123225376E-3</v>
      </c>
      <c r="E227" s="8">
        <f t="shared" ca="1" si="37"/>
        <v>-4.5734681390957833E-3</v>
      </c>
      <c r="G227" s="8">
        <f t="shared" ca="1" si="38"/>
        <v>5.4132607721097097</v>
      </c>
      <c r="H227" s="8">
        <f>mu*dt</f>
        <v>2.5000000000000005E-3</v>
      </c>
      <c r="I227" s="8">
        <f t="shared" ca="1" si="39"/>
        <v>-1.3167529123225376E-3</v>
      </c>
      <c r="J227" s="8">
        <f t="shared" ca="1" si="40"/>
        <v>1.1832470876774628E-3</v>
      </c>
      <c r="L227" s="8">
        <f t="shared" ca="1" si="41"/>
        <v>7.4717228846085773</v>
      </c>
      <c r="M227" s="8">
        <f ca="1">mu*L226*dt</f>
        <v>1.8657231097161605E-2</v>
      </c>
      <c r="N227" s="8">
        <f t="shared" ca="1" si="42"/>
        <v>-9.8267853532248619E-3</v>
      </c>
      <c r="O227" s="8">
        <f t="shared" ca="1" si="43"/>
        <v>8.8304457439367431E-3</v>
      </c>
      <c r="Q227" s="7">
        <f t="shared" si="44"/>
        <v>10.800000000000018</v>
      </c>
      <c r="R227" s="8">
        <f t="shared" ca="1" si="45"/>
        <v>2.7993684128636672E-2</v>
      </c>
      <c r="S227" s="8">
        <f t="shared" ca="1" si="46"/>
        <v>5.4132607721097097</v>
      </c>
      <c r="T227" s="8">
        <f t="shared" ca="1" si="47"/>
        <v>7.4717228846085773</v>
      </c>
    </row>
    <row r="228" spans="1:20" x14ac:dyDescent="0.25">
      <c r="A228" s="7">
        <f>A227+dt</f>
        <v>10.850000000000019</v>
      </c>
      <c r="B228" s="8">
        <f t="shared" ca="1" si="36"/>
        <v>2.8136990688661087E-2</v>
      </c>
      <c r="C228" s="8">
        <f ca="1">lambda*(a-B227)*dt</f>
        <v>-2.7993684128636673E-3</v>
      </c>
      <c r="D228" s="8">
        <f ca="1">sigma*SQRT(dt)*_xlfn.NORM.S.INV(RAND())</f>
        <v>2.9426749728880823E-3</v>
      </c>
      <c r="E228" s="8">
        <f t="shared" ca="1" si="37"/>
        <v>1.4330656002441503E-4</v>
      </c>
      <c r="G228" s="8">
        <f t="shared" ca="1" si="38"/>
        <v>5.4187034470825974</v>
      </c>
      <c r="H228" s="8">
        <f>mu*dt</f>
        <v>2.5000000000000005E-3</v>
      </c>
      <c r="I228" s="8">
        <f t="shared" ca="1" si="39"/>
        <v>2.9426749728880823E-3</v>
      </c>
      <c r="J228" s="8">
        <f t="shared" ca="1" si="40"/>
        <v>5.4426749728880824E-3</v>
      </c>
      <c r="L228" s="8">
        <f t="shared" ca="1" si="41"/>
        <v>7.5123890437569916</v>
      </c>
      <c r="M228" s="8">
        <f ca="1">mu*L227*dt</f>
        <v>1.8679307211521445E-2</v>
      </c>
      <c r="N228" s="8">
        <f t="shared" ca="1" si="42"/>
        <v>2.1986851936892808E-2</v>
      </c>
      <c r="O228" s="8">
        <f t="shared" ca="1" si="43"/>
        <v>4.0666159148414253E-2</v>
      </c>
      <c r="Q228" s="7">
        <f t="shared" si="44"/>
        <v>10.850000000000019</v>
      </c>
      <c r="R228" s="8">
        <f t="shared" ca="1" si="45"/>
        <v>2.8136990688661087E-2</v>
      </c>
      <c r="S228" s="8">
        <f t="shared" ca="1" si="46"/>
        <v>5.4187034470825974</v>
      </c>
      <c r="T228" s="8">
        <f t="shared" ca="1" si="47"/>
        <v>7.5123890437569916</v>
      </c>
    </row>
    <row r="229" spans="1:20" x14ac:dyDescent="0.25">
      <c r="A229" s="7">
        <f>A228+dt</f>
        <v>10.90000000000002</v>
      </c>
      <c r="B229" s="8">
        <f t="shared" ca="1" si="36"/>
        <v>1.0042490289819222E-2</v>
      </c>
      <c r="C229" s="8">
        <f ca="1">lambda*(a-B228)*dt</f>
        <v>-2.8136990688661088E-3</v>
      </c>
      <c r="D229" s="8">
        <f ca="1">sigma*SQRT(dt)*_xlfn.NORM.S.INV(RAND())</f>
        <v>-1.5280801329975755E-2</v>
      </c>
      <c r="E229" s="8">
        <f t="shared" ca="1" si="37"/>
        <v>-1.8094500398841865E-2</v>
      </c>
      <c r="G229" s="8">
        <f t="shared" ca="1" si="38"/>
        <v>5.4059226457526215</v>
      </c>
      <c r="H229" s="8">
        <f>mu*dt</f>
        <v>2.5000000000000005E-3</v>
      </c>
      <c r="I229" s="8">
        <f t="shared" ca="1" si="39"/>
        <v>-1.5280801329975755E-2</v>
      </c>
      <c r="J229" s="8">
        <f t="shared" ca="1" si="40"/>
        <v>-1.2780801329975755E-2</v>
      </c>
      <c r="L229" s="8">
        <f t="shared" ca="1" si="41"/>
        <v>7.4163746918752471</v>
      </c>
      <c r="M229" s="8">
        <f ca="1">mu*L228*dt</f>
        <v>1.8780972609392481E-2</v>
      </c>
      <c r="N229" s="8">
        <f t="shared" ca="1" si="42"/>
        <v>-0.11479532449113714</v>
      </c>
      <c r="O229" s="8">
        <f t="shared" ca="1" si="43"/>
        <v>-9.6014351881744647E-2</v>
      </c>
      <c r="Q229" s="7">
        <f t="shared" si="44"/>
        <v>10.90000000000002</v>
      </c>
      <c r="R229" s="8">
        <f t="shared" ca="1" si="45"/>
        <v>1.0042490289819222E-2</v>
      </c>
      <c r="S229" s="8">
        <f t="shared" ca="1" si="46"/>
        <v>5.4059226457526215</v>
      </c>
      <c r="T229" s="8">
        <f t="shared" ca="1" si="47"/>
        <v>7.4163746918752471</v>
      </c>
    </row>
    <row r="230" spans="1:20" x14ac:dyDescent="0.25">
      <c r="A230" s="7">
        <f>A229+dt</f>
        <v>10.950000000000021</v>
      </c>
      <c r="B230" s="8">
        <f t="shared" ca="1" si="36"/>
        <v>2.1217383140017546E-2</v>
      </c>
      <c r="C230" s="8">
        <f ca="1">lambda*(a-B229)*dt</f>
        <v>-1.0042490289819221E-3</v>
      </c>
      <c r="D230" s="8">
        <f ca="1">sigma*SQRT(dt)*_xlfn.NORM.S.INV(RAND())</f>
        <v>1.2179141879180243E-2</v>
      </c>
      <c r="E230" s="8">
        <f t="shared" ca="1" si="37"/>
        <v>1.1174892850198322E-2</v>
      </c>
      <c r="G230" s="8">
        <f t="shared" ca="1" si="38"/>
        <v>5.420601787631802</v>
      </c>
      <c r="H230" s="8">
        <f>mu*dt</f>
        <v>2.5000000000000005E-3</v>
      </c>
      <c r="I230" s="8">
        <f t="shared" ca="1" si="39"/>
        <v>1.2179141879180243E-2</v>
      </c>
      <c r="J230" s="8">
        <f t="shared" ca="1" si="40"/>
        <v>1.4679141879180244E-2</v>
      </c>
      <c r="L230" s="8">
        <f t="shared" ca="1" si="41"/>
        <v>7.5252407082064456</v>
      </c>
      <c r="M230" s="8">
        <f ca="1">mu*L229*dt</f>
        <v>1.854093672968812E-2</v>
      </c>
      <c r="N230" s="8">
        <f t="shared" ca="1" si="42"/>
        <v>9.0325079601510302E-2</v>
      </c>
      <c r="O230" s="8">
        <f t="shared" ca="1" si="43"/>
        <v>0.10886601633119843</v>
      </c>
      <c r="Q230" s="7">
        <f t="shared" si="44"/>
        <v>10.950000000000021</v>
      </c>
      <c r="R230" s="8">
        <f t="shared" ca="1" si="45"/>
        <v>2.1217383140017546E-2</v>
      </c>
      <c r="S230" s="8">
        <f t="shared" ca="1" si="46"/>
        <v>5.420601787631802</v>
      </c>
      <c r="T230" s="8">
        <f t="shared" ca="1" si="47"/>
        <v>7.5252407082064456</v>
      </c>
    </row>
    <row r="231" spans="1:20" x14ac:dyDescent="0.25">
      <c r="A231" s="7">
        <f>A230+dt</f>
        <v>11.000000000000021</v>
      </c>
      <c r="B231" s="8">
        <f t="shared" ca="1" si="36"/>
        <v>1.3993052910622545E-2</v>
      </c>
      <c r="C231" s="8">
        <f ca="1">lambda*(a-B230)*dt</f>
        <v>-2.1217383140017545E-3</v>
      </c>
      <c r="D231" s="8">
        <f ca="1">sigma*SQRT(dt)*_xlfn.NORM.S.INV(RAND())</f>
        <v>-5.1025919153932457E-3</v>
      </c>
      <c r="E231" s="8">
        <f t="shared" ca="1" si="37"/>
        <v>-7.2243302293950006E-3</v>
      </c>
      <c r="G231" s="8">
        <f t="shared" ca="1" si="38"/>
        <v>5.4179991957164084</v>
      </c>
      <c r="H231" s="8">
        <f>mu*dt</f>
        <v>2.5000000000000005E-3</v>
      </c>
      <c r="I231" s="8">
        <f t="shared" ca="1" si="39"/>
        <v>-5.1025919153932457E-3</v>
      </c>
      <c r="J231" s="8">
        <f t="shared" ca="1" si="40"/>
        <v>-2.6025919153932452E-3</v>
      </c>
      <c r="L231" s="8">
        <f t="shared" ca="1" si="41"/>
        <v>7.5056555775778797</v>
      </c>
      <c r="M231" s="8">
        <f ca="1">mu*L230*dt</f>
        <v>1.8813101770516118E-2</v>
      </c>
      <c r="N231" s="8">
        <f t="shared" ca="1" si="42"/>
        <v>-3.8398232399082355E-2</v>
      </c>
      <c r="O231" s="8">
        <f t="shared" ca="1" si="43"/>
        <v>-1.9585130628566236E-2</v>
      </c>
      <c r="Q231" s="7">
        <f t="shared" si="44"/>
        <v>11.000000000000021</v>
      </c>
      <c r="R231" s="8">
        <f t="shared" ca="1" si="45"/>
        <v>1.3993052910622545E-2</v>
      </c>
      <c r="S231" s="8">
        <f t="shared" ca="1" si="46"/>
        <v>5.4179991957164084</v>
      </c>
      <c r="T231" s="8">
        <f t="shared" ca="1" si="47"/>
        <v>7.5056555775778797</v>
      </c>
    </row>
    <row r="232" spans="1:20" x14ac:dyDescent="0.25">
      <c r="A232" s="7">
        <f>A231+dt</f>
        <v>11.050000000000022</v>
      </c>
      <c r="B232" s="8">
        <f t="shared" ca="1" si="36"/>
        <v>2.6273219709533589E-2</v>
      </c>
      <c r="C232" s="8">
        <f ca="1">lambda*(a-B231)*dt</f>
        <v>-1.3993052910622546E-3</v>
      </c>
      <c r="D232" s="8">
        <f ca="1">sigma*SQRT(dt)*_xlfn.NORM.S.INV(RAND())</f>
        <v>1.3679472089973298E-2</v>
      </c>
      <c r="E232" s="8">
        <f t="shared" ca="1" si="37"/>
        <v>1.2280166798911044E-2</v>
      </c>
      <c r="G232" s="8">
        <f t="shared" ca="1" si="38"/>
        <v>5.4341786678063819</v>
      </c>
      <c r="H232" s="8">
        <f>mu*dt</f>
        <v>2.5000000000000005E-3</v>
      </c>
      <c r="I232" s="8">
        <f t="shared" ca="1" si="39"/>
        <v>1.3679472089973298E-2</v>
      </c>
      <c r="J232" s="8">
        <f t="shared" ca="1" si="40"/>
        <v>1.61794720899733E-2</v>
      </c>
      <c r="L232" s="8">
        <f t="shared" ca="1" si="41"/>
        <v>7.6270931225122531</v>
      </c>
      <c r="M232" s="8">
        <f ca="1">mu*L231*dt</f>
        <v>1.87641389439447E-2</v>
      </c>
      <c r="N232" s="8">
        <f t="shared" ca="1" si="42"/>
        <v>0.10267340599042901</v>
      </c>
      <c r="O232" s="8">
        <f t="shared" ca="1" si="43"/>
        <v>0.12143754493437371</v>
      </c>
      <c r="Q232" s="7">
        <f t="shared" si="44"/>
        <v>11.050000000000022</v>
      </c>
      <c r="R232" s="8">
        <f t="shared" ca="1" si="45"/>
        <v>2.6273219709533589E-2</v>
      </c>
      <c r="S232" s="8">
        <f t="shared" ca="1" si="46"/>
        <v>5.4341786678063819</v>
      </c>
      <c r="T232" s="8">
        <f t="shared" ca="1" si="47"/>
        <v>7.6270931225122531</v>
      </c>
    </row>
    <row r="233" spans="1:20" x14ac:dyDescent="0.25">
      <c r="A233" s="7">
        <f>A232+dt</f>
        <v>11.100000000000023</v>
      </c>
      <c r="B233" s="8">
        <f t="shared" ca="1" si="36"/>
        <v>1.2966234508107164E-2</v>
      </c>
      <c r="C233" s="8">
        <f ca="1">lambda*(a-B232)*dt</f>
        <v>-2.6273219709533591E-3</v>
      </c>
      <c r="D233" s="8">
        <f ca="1">sigma*SQRT(dt)*_xlfn.NORM.S.INV(RAND())</f>
        <v>-1.0679663230473065E-2</v>
      </c>
      <c r="E233" s="8">
        <f t="shared" ca="1" si="37"/>
        <v>-1.3306985201426424E-2</v>
      </c>
      <c r="G233" s="8">
        <f t="shared" ca="1" si="38"/>
        <v>5.4259990045759086</v>
      </c>
      <c r="H233" s="8">
        <f>mu*dt</f>
        <v>2.5000000000000005E-3</v>
      </c>
      <c r="I233" s="8">
        <f t="shared" ca="1" si="39"/>
        <v>-1.0679663230473065E-2</v>
      </c>
      <c r="J233" s="8">
        <f t="shared" ca="1" si="40"/>
        <v>-8.1796632304730645E-3</v>
      </c>
      <c r="L233" s="8">
        <f t="shared" ca="1" si="41"/>
        <v>7.5647060693426456</v>
      </c>
      <c r="M233" s="8">
        <f ca="1">mu*L232*dt</f>
        <v>1.9067732806280636E-2</v>
      </c>
      <c r="N233" s="8">
        <f t="shared" ca="1" si="42"/>
        <v>-8.1454785975888108E-2</v>
      </c>
      <c r="O233" s="8">
        <f t="shared" ca="1" si="43"/>
        <v>-6.2387053169607472E-2</v>
      </c>
      <c r="Q233" s="7">
        <f t="shared" si="44"/>
        <v>11.100000000000023</v>
      </c>
      <c r="R233" s="8">
        <f t="shared" ca="1" si="45"/>
        <v>1.2966234508107164E-2</v>
      </c>
      <c r="S233" s="8">
        <f t="shared" ca="1" si="46"/>
        <v>5.4259990045759086</v>
      </c>
      <c r="T233" s="8">
        <f t="shared" ca="1" si="47"/>
        <v>7.5647060693426456</v>
      </c>
    </row>
    <row r="234" spans="1:20" x14ac:dyDescent="0.25">
      <c r="A234" s="7">
        <f>A233+dt</f>
        <v>11.150000000000023</v>
      </c>
      <c r="B234" s="8">
        <f t="shared" ca="1" si="36"/>
        <v>1.7372744124994111E-2</v>
      </c>
      <c r="C234" s="8">
        <f ca="1">lambda*(a-B233)*dt</f>
        <v>-1.2966234508107165E-3</v>
      </c>
      <c r="D234" s="8">
        <f ca="1">sigma*SQRT(dt)*_xlfn.NORM.S.INV(RAND())</f>
        <v>5.7031330676976634E-3</v>
      </c>
      <c r="E234" s="8">
        <f t="shared" ca="1" si="37"/>
        <v>4.4065096168869472E-3</v>
      </c>
      <c r="G234" s="8">
        <f t="shared" ca="1" si="38"/>
        <v>5.4342021376436058</v>
      </c>
      <c r="H234" s="8">
        <f>mu*dt</f>
        <v>2.5000000000000005E-3</v>
      </c>
      <c r="I234" s="8">
        <f t="shared" ca="1" si="39"/>
        <v>5.7031330676976634E-3</v>
      </c>
      <c r="J234" s="8">
        <f t="shared" ca="1" si="40"/>
        <v>8.2031330676976648E-3</v>
      </c>
      <c r="L234" s="8">
        <f t="shared" ca="1" si="41"/>
        <v>7.6267603598474834</v>
      </c>
      <c r="M234" s="8">
        <f ca="1">mu*L233*dt</f>
        <v>1.8911765173356618E-2</v>
      </c>
      <c r="N234" s="8">
        <f t="shared" ca="1" si="42"/>
        <v>4.3142525331481253E-2</v>
      </c>
      <c r="O234" s="8">
        <f t="shared" ca="1" si="43"/>
        <v>6.2054290504837871E-2</v>
      </c>
      <c r="Q234" s="7">
        <f t="shared" si="44"/>
        <v>11.150000000000023</v>
      </c>
      <c r="R234" s="8">
        <f t="shared" ca="1" si="45"/>
        <v>1.7372744124994111E-2</v>
      </c>
      <c r="S234" s="8">
        <f t="shared" ca="1" si="46"/>
        <v>5.4342021376436058</v>
      </c>
      <c r="T234" s="8">
        <f t="shared" ca="1" si="47"/>
        <v>7.6267603598474834</v>
      </c>
    </row>
    <row r="235" spans="1:20" x14ac:dyDescent="0.25">
      <c r="A235" s="7">
        <f>A234+dt</f>
        <v>11.200000000000024</v>
      </c>
      <c r="B235" s="8">
        <f t="shared" ca="1" si="36"/>
        <v>2.9044686818832523E-2</v>
      </c>
      <c r="C235" s="8">
        <f ca="1">lambda*(a-B234)*dt</f>
        <v>-1.7372744124994112E-3</v>
      </c>
      <c r="D235" s="8">
        <f ca="1">sigma*SQRT(dt)*_xlfn.NORM.S.INV(RAND())</f>
        <v>1.3409217106337825E-2</v>
      </c>
      <c r="E235" s="8">
        <f t="shared" ca="1" si="37"/>
        <v>1.1671942693838413E-2</v>
      </c>
      <c r="G235" s="8">
        <f t="shared" ca="1" si="38"/>
        <v>5.4501113547499438</v>
      </c>
      <c r="H235" s="8">
        <f>mu*dt</f>
        <v>2.5000000000000005E-3</v>
      </c>
      <c r="I235" s="8">
        <f t="shared" ca="1" si="39"/>
        <v>1.3409217106337825E-2</v>
      </c>
      <c r="J235" s="8">
        <f t="shared" ca="1" si="40"/>
        <v>1.5909217106337824E-2</v>
      </c>
      <c r="L235" s="8">
        <f t="shared" ca="1" si="41"/>
        <v>7.7480961462303082</v>
      </c>
      <c r="M235" s="8">
        <f ca="1">mu*L234*dt</f>
        <v>1.9066900899618711E-2</v>
      </c>
      <c r="N235" s="8">
        <f t="shared" ca="1" si="42"/>
        <v>0.1022688854832061</v>
      </c>
      <c r="O235" s="8">
        <f t="shared" ca="1" si="43"/>
        <v>0.12133578638282481</v>
      </c>
      <c r="Q235" s="7">
        <f t="shared" si="44"/>
        <v>11.200000000000024</v>
      </c>
      <c r="R235" s="8">
        <f t="shared" ca="1" si="45"/>
        <v>2.9044686818832523E-2</v>
      </c>
      <c r="S235" s="8">
        <f t="shared" ca="1" si="46"/>
        <v>5.4501113547499438</v>
      </c>
      <c r="T235" s="8">
        <f t="shared" ca="1" si="47"/>
        <v>7.7480961462303082</v>
      </c>
    </row>
    <row r="236" spans="1:20" x14ac:dyDescent="0.25">
      <c r="A236" s="7">
        <f>A235+dt</f>
        <v>11.250000000000025</v>
      </c>
      <c r="B236" s="8">
        <f t="shared" ca="1" si="36"/>
        <v>3.2503142594606793E-2</v>
      </c>
      <c r="C236" s="8">
        <f ca="1">lambda*(a-B235)*dt</f>
        <v>-2.9044686818832524E-3</v>
      </c>
      <c r="D236" s="8">
        <f ca="1">sigma*SQRT(dt)*_xlfn.NORM.S.INV(RAND())</f>
        <v>6.3629244576575237E-3</v>
      </c>
      <c r="E236" s="8">
        <f t="shared" ca="1" si="37"/>
        <v>3.4584557757742712E-3</v>
      </c>
      <c r="G236" s="8">
        <f t="shared" ca="1" si="38"/>
        <v>5.4589742792076015</v>
      </c>
      <c r="H236" s="8">
        <f>mu*dt</f>
        <v>2.5000000000000005E-3</v>
      </c>
      <c r="I236" s="8">
        <f t="shared" ca="1" si="39"/>
        <v>6.3629244576575237E-3</v>
      </c>
      <c r="J236" s="8">
        <f t="shared" ca="1" si="40"/>
        <v>8.8629244576575242E-3</v>
      </c>
      <c r="L236" s="8">
        <f t="shared" ca="1" si="41"/>
        <v>7.8167669370650144</v>
      </c>
      <c r="M236" s="8">
        <f ca="1">mu*L235*dt</f>
        <v>1.9370240365575775E-2</v>
      </c>
      <c r="N236" s="8">
        <f t="shared" ca="1" si="42"/>
        <v>4.930055046913083E-2</v>
      </c>
      <c r="O236" s="8">
        <f t="shared" ca="1" si="43"/>
        <v>6.8670790834706605E-2</v>
      </c>
      <c r="Q236" s="7">
        <f t="shared" si="44"/>
        <v>11.250000000000025</v>
      </c>
      <c r="R236" s="8">
        <f t="shared" ca="1" si="45"/>
        <v>3.2503142594606793E-2</v>
      </c>
      <c r="S236" s="8">
        <f t="shared" ca="1" si="46"/>
        <v>5.4589742792076015</v>
      </c>
      <c r="T236" s="8">
        <f t="shared" ca="1" si="47"/>
        <v>7.8167669370650144</v>
      </c>
    </row>
    <row r="237" spans="1:20" x14ac:dyDescent="0.25">
      <c r="A237" s="7">
        <f>A236+dt</f>
        <v>11.300000000000026</v>
      </c>
      <c r="B237" s="8">
        <f t="shared" ca="1" si="36"/>
        <v>1.7053057975556521E-2</v>
      </c>
      <c r="C237" s="8">
        <f ca="1">lambda*(a-B236)*dt</f>
        <v>-3.2503142594606793E-3</v>
      </c>
      <c r="D237" s="8">
        <f ca="1">sigma*SQRT(dt)*_xlfn.NORM.S.INV(RAND())</f>
        <v>-1.2199770359589595E-2</v>
      </c>
      <c r="E237" s="8">
        <f t="shared" ca="1" si="37"/>
        <v>-1.5450084619050274E-2</v>
      </c>
      <c r="G237" s="8">
        <f t="shared" ca="1" si="38"/>
        <v>5.4492745088480117</v>
      </c>
      <c r="H237" s="8">
        <f>mu*dt</f>
        <v>2.5000000000000005E-3</v>
      </c>
      <c r="I237" s="8">
        <f t="shared" ca="1" si="39"/>
        <v>-1.2199770359589595E-2</v>
      </c>
      <c r="J237" s="8">
        <f t="shared" ca="1" si="40"/>
        <v>-9.6997703595895941E-3</v>
      </c>
      <c r="L237" s="8">
        <f t="shared" ca="1" si="41"/>
        <v>7.7409460928210514</v>
      </c>
      <c r="M237" s="8">
        <f ca="1">mu*L236*dt</f>
        <v>1.954191734266254E-2</v>
      </c>
      <c r="N237" s="8">
        <f t="shared" ca="1" si="42"/>
        <v>-9.5362761586625711E-2</v>
      </c>
      <c r="O237" s="8">
        <f t="shared" ca="1" si="43"/>
        <v>-7.5820844243963167E-2</v>
      </c>
      <c r="Q237" s="7">
        <f t="shared" si="44"/>
        <v>11.300000000000026</v>
      </c>
      <c r="R237" s="8">
        <f t="shared" ca="1" si="45"/>
        <v>1.7053057975556521E-2</v>
      </c>
      <c r="S237" s="8">
        <f t="shared" ca="1" si="46"/>
        <v>5.4492745088480117</v>
      </c>
      <c r="T237" s="8">
        <f t="shared" ca="1" si="47"/>
        <v>7.7409460928210514</v>
      </c>
    </row>
    <row r="238" spans="1:20" x14ac:dyDescent="0.25">
      <c r="A238" s="7">
        <f>A237+dt</f>
        <v>11.350000000000026</v>
      </c>
      <c r="B238" s="8">
        <f t="shared" ca="1" si="36"/>
        <v>7.0719486637265284E-3</v>
      </c>
      <c r="C238" s="8">
        <f ca="1">lambda*(a-B237)*dt</f>
        <v>-1.7053057975556522E-3</v>
      </c>
      <c r="D238" s="8">
        <f ca="1">sigma*SQRT(dt)*_xlfn.NORM.S.INV(RAND())</f>
        <v>-8.2758035142743401E-3</v>
      </c>
      <c r="E238" s="8">
        <f t="shared" ca="1" si="37"/>
        <v>-9.9811093118299925E-3</v>
      </c>
      <c r="G238" s="8">
        <f t="shared" ca="1" si="38"/>
        <v>5.4434987053337371</v>
      </c>
      <c r="H238" s="8">
        <f>mu*dt</f>
        <v>2.5000000000000005E-3</v>
      </c>
      <c r="I238" s="8">
        <f t="shared" ca="1" si="39"/>
        <v>-8.2758035142743401E-3</v>
      </c>
      <c r="J238" s="8">
        <f t="shared" ca="1" si="40"/>
        <v>-5.7758035142743396E-3</v>
      </c>
      <c r="L238" s="8">
        <f t="shared" ca="1" si="41"/>
        <v>7.6962359091743275</v>
      </c>
      <c r="M238" s="8">
        <f ca="1">mu*L237*dt</f>
        <v>1.935236523205263E-2</v>
      </c>
      <c r="N238" s="8">
        <f t="shared" ca="1" si="42"/>
        <v>-6.4062548878776673E-2</v>
      </c>
      <c r="O238" s="8">
        <f t="shared" ca="1" si="43"/>
        <v>-4.4710183646724043E-2</v>
      </c>
      <c r="Q238" s="7">
        <f t="shared" si="44"/>
        <v>11.350000000000026</v>
      </c>
      <c r="R238" s="8">
        <f t="shared" ca="1" si="45"/>
        <v>7.0719486637265284E-3</v>
      </c>
      <c r="S238" s="8">
        <f t="shared" ca="1" si="46"/>
        <v>5.4434987053337371</v>
      </c>
      <c r="T238" s="8">
        <f t="shared" ca="1" si="47"/>
        <v>7.6962359091743275</v>
      </c>
    </row>
    <row r="239" spans="1:20" x14ac:dyDescent="0.25">
      <c r="A239" s="7">
        <f>A238+dt</f>
        <v>11.400000000000027</v>
      </c>
      <c r="B239" s="8">
        <f t="shared" ca="1" si="36"/>
        <v>1.4252145919584205E-2</v>
      </c>
      <c r="C239" s="8">
        <f ca="1">lambda*(a-B238)*dt</f>
        <v>-7.0719486637265284E-4</v>
      </c>
      <c r="D239" s="8">
        <f ca="1">sigma*SQRT(dt)*_xlfn.NORM.S.INV(RAND())</f>
        <v>7.88739212223033E-3</v>
      </c>
      <c r="E239" s="8">
        <f t="shared" ca="1" si="37"/>
        <v>7.1801972558576772E-3</v>
      </c>
      <c r="G239" s="8">
        <f t="shared" ca="1" si="38"/>
        <v>5.4538860974559675</v>
      </c>
      <c r="H239" s="8">
        <f>mu*dt</f>
        <v>2.5000000000000005E-3</v>
      </c>
      <c r="I239" s="8">
        <f t="shared" ca="1" si="39"/>
        <v>7.88739212223033E-3</v>
      </c>
      <c r="J239" s="8">
        <f t="shared" ca="1" si="40"/>
        <v>1.0387392122230331E-2</v>
      </c>
      <c r="L239" s="8">
        <f t="shared" ca="1" si="41"/>
        <v>7.7761797294281108</v>
      </c>
      <c r="M239" s="8">
        <f ca="1">mu*L238*dt</f>
        <v>1.9240589772935822E-2</v>
      </c>
      <c r="N239" s="8">
        <f t="shared" ca="1" si="42"/>
        <v>6.0703230480847775E-2</v>
      </c>
      <c r="O239" s="8">
        <f t="shared" ca="1" si="43"/>
        <v>7.9943820253783604E-2</v>
      </c>
      <c r="Q239" s="7">
        <f t="shared" si="44"/>
        <v>11.400000000000027</v>
      </c>
      <c r="R239" s="8">
        <f t="shared" ca="1" si="45"/>
        <v>1.4252145919584205E-2</v>
      </c>
      <c r="S239" s="8">
        <f t="shared" ca="1" si="46"/>
        <v>5.4538860974559675</v>
      </c>
      <c r="T239" s="8">
        <f t="shared" ca="1" si="47"/>
        <v>7.7761797294281108</v>
      </c>
    </row>
    <row r="240" spans="1:20" x14ac:dyDescent="0.25">
      <c r="A240" s="7">
        <f>A239+dt</f>
        <v>11.450000000000028</v>
      </c>
      <c r="B240" s="8">
        <f t="shared" ca="1" si="36"/>
        <v>2.6612008438400572E-2</v>
      </c>
      <c r="C240" s="8">
        <f ca="1">lambda*(a-B239)*dt</f>
        <v>-1.4252145919584206E-3</v>
      </c>
      <c r="D240" s="8">
        <f ca="1">sigma*SQRT(dt)*_xlfn.NORM.S.INV(RAND())</f>
        <v>1.378507711077479E-2</v>
      </c>
      <c r="E240" s="8">
        <f t="shared" ca="1" si="37"/>
        <v>1.2359862518816369E-2</v>
      </c>
      <c r="G240" s="8">
        <f t="shared" ca="1" si="38"/>
        <v>5.4701711745667421</v>
      </c>
      <c r="H240" s="8">
        <f>mu*dt</f>
        <v>2.5000000000000005E-3</v>
      </c>
      <c r="I240" s="8">
        <f t="shared" ca="1" si="39"/>
        <v>1.378507711077479E-2</v>
      </c>
      <c r="J240" s="8">
        <f t="shared" ca="1" si="40"/>
        <v>1.6285077110774791E-2</v>
      </c>
      <c r="L240" s="8">
        <f t="shared" ca="1" si="41"/>
        <v>7.9028154159490915</v>
      </c>
      <c r="M240" s="8">
        <f ca="1">mu*L239*dt</f>
        <v>1.944044932357028E-2</v>
      </c>
      <c r="N240" s="8">
        <f t="shared" ca="1" si="42"/>
        <v>0.10719523719741035</v>
      </c>
      <c r="O240" s="8">
        <f t="shared" ca="1" si="43"/>
        <v>0.12663568652098062</v>
      </c>
      <c r="Q240" s="7">
        <f t="shared" si="44"/>
        <v>11.450000000000028</v>
      </c>
      <c r="R240" s="8">
        <f t="shared" ca="1" si="45"/>
        <v>2.6612008438400572E-2</v>
      </c>
      <c r="S240" s="8">
        <f t="shared" ca="1" si="46"/>
        <v>5.4701711745667421</v>
      </c>
      <c r="T240" s="8">
        <f t="shared" ca="1" si="47"/>
        <v>7.9028154159490915</v>
      </c>
    </row>
    <row r="241" spans="1:20" x14ac:dyDescent="0.25">
      <c r="A241" s="7">
        <f>A240+dt</f>
        <v>11.500000000000028</v>
      </c>
      <c r="B241" s="8">
        <f t="shared" ca="1" si="36"/>
        <v>2.5372371562754396E-2</v>
      </c>
      <c r="C241" s="8">
        <f ca="1">lambda*(a-B240)*dt</f>
        <v>-2.6612008438400576E-3</v>
      </c>
      <c r="D241" s="8">
        <f ca="1">sigma*SQRT(dt)*_xlfn.NORM.S.INV(RAND())</f>
        <v>1.4215639681938804E-3</v>
      </c>
      <c r="E241" s="8">
        <f t="shared" ca="1" si="37"/>
        <v>-1.2396368756461772E-3</v>
      </c>
      <c r="G241" s="8">
        <f t="shared" ca="1" si="38"/>
        <v>5.4740927385349361</v>
      </c>
      <c r="H241" s="8">
        <f>mu*dt</f>
        <v>2.5000000000000005E-3</v>
      </c>
      <c r="I241" s="8">
        <f t="shared" ca="1" si="39"/>
        <v>1.4215639681938804E-3</v>
      </c>
      <c r="J241" s="8">
        <f t="shared" ca="1" si="40"/>
        <v>3.9215639681938804E-3</v>
      </c>
      <c r="L241" s="8">
        <f t="shared" ca="1" si="41"/>
        <v>7.9338068121315644</v>
      </c>
      <c r="M241" s="8">
        <f ca="1">mu*L240*dt</f>
        <v>1.9757038539872731E-2</v>
      </c>
      <c r="N241" s="8">
        <f t="shared" ca="1" si="42"/>
        <v>1.1234357642600362E-2</v>
      </c>
      <c r="O241" s="8">
        <f t="shared" ca="1" si="43"/>
        <v>3.0991396182473093E-2</v>
      </c>
      <c r="Q241" s="7">
        <f t="shared" si="44"/>
        <v>11.500000000000028</v>
      </c>
      <c r="R241" s="8">
        <f t="shared" ca="1" si="45"/>
        <v>2.5372371562754396E-2</v>
      </c>
      <c r="S241" s="8">
        <f t="shared" ca="1" si="46"/>
        <v>5.4740927385349361</v>
      </c>
      <c r="T241" s="8">
        <f t="shared" ca="1" si="47"/>
        <v>7.9338068121315644</v>
      </c>
    </row>
    <row r="242" spans="1:20" x14ac:dyDescent="0.25">
      <c r="A242" s="7">
        <f>A241+dt</f>
        <v>11.550000000000029</v>
      </c>
      <c r="B242" s="8">
        <f t="shared" ca="1" si="36"/>
        <v>1.3093985111211171E-2</v>
      </c>
      <c r="C242" s="8">
        <f ca="1">lambda*(a-B241)*dt</f>
        <v>-2.53723715627544E-3</v>
      </c>
      <c r="D242" s="8">
        <f ca="1">sigma*SQRT(dt)*_xlfn.NORM.S.INV(RAND())</f>
        <v>-9.7411492952677852E-3</v>
      </c>
      <c r="E242" s="8">
        <f t="shared" ca="1" si="37"/>
        <v>-1.2278386451543225E-2</v>
      </c>
      <c r="G242" s="8">
        <f t="shared" ca="1" si="38"/>
        <v>5.4668515892396679</v>
      </c>
      <c r="H242" s="8">
        <f>mu*dt</f>
        <v>2.5000000000000005E-3</v>
      </c>
      <c r="I242" s="8">
        <f t="shared" ca="1" si="39"/>
        <v>-9.7411492952677852E-3</v>
      </c>
      <c r="J242" s="8">
        <f t="shared" ca="1" si="40"/>
        <v>-7.2411492952677847E-3</v>
      </c>
      <c r="L242" s="8">
        <f t="shared" ca="1" si="41"/>
        <v>7.8763569325251073</v>
      </c>
      <c r="M242" s="8">
        <f ca="1">mu*L241*dt</f>
        <v>1.9834517030328916E-2</v>
      </c>
      <c r="N242" s="8">
        <f t="shared" ca="1" si="42"/>
        <v>-7.7284396636786143E-2</v>
      </c>
      <c r="O242" s="8">
        <f t="shared" ca="1" si="43"/>
        <v>-5.7449879606457227E-2</v>
      </c>
      <c r="Q242" s="7">
        <f t="shared" si="44"/>
        <v>11.550000000000029</v>
      </c>
      <c r="R242" s="8">
        <f t="shared" ca="1" si="45"/>
        <v>1.3093985111211171E-2</v>
      </c>
      <c r="S242" s="8">
        <f t="shared" ca="1" si="46"/>
        <v>5.4668515892396679</v>
      </c>
      <c r="T242" s="8">
        <f t="shared" ca="1" si="47"/>
        <v>7.8763569325251073</v>
      </c>
    </row>
    <row r="243" spans="1:20" x14ac:dyDescent="0.25">
      <c r="A243" s="7">
        <f>A242+dt</f>
        <v>11.60000000000003</v>
      </c>
      <c r="B243" s="8">
        <f t="shared" ca="1" si="36"/>
        <v>8.1521941127040663E-3</v>
      </c>
      <c r="C243" s="8">
        <f ca="1">lambda*(a-B242)*dt</f>
        <v>-1.3093985111211172E-3</v>
      </c>
      <c r="D243" s="8">
        <f ca="1">sigma*SQRT(dt)*_xlfn.NORM.S.INV(RAND())</f>
        <v>-3.632392487385987E-3</v>
      </c>
      <c r="E243" s="8">
        <f t="shared" ca="1" si="37"/>
        <v>-4.941790998507104E-3</v>
      </c>
      <c r="G243" s="8">
        <f t="shared" ca="1" si="38"/>
        <v>5.465719196752282</v>
      </c>
      <c r="H243" s="8">
        <f>mu*dt</f>
        <v>2.5000000000000005E-3</v>
      </c>
      <c r="I243" s="8">
        <f t="shared" ca="1" si="39"/>
        <v>-3.632392487385987E-3</v>
      </c>
      <c r="J243" s="8">
        <f t="shared" ca="1" si="40"/>
        <v>-1.1323924873859865E-3</v>
      </c>
      <c r="L243" s="8">
        <f t="shared" ca="1" si="41"/>
        <v>7.8674378051067455</v>
      </c>
      <c r="M243" s="8">
        <f ca="1">mu*L242*dt</f>
        <v>1.969089233131277E-2</v>
      </c>
      <c r="N243" s="8">
        <f t="shared" ca="1" si="42"/>
        <v>-2.8610019749674736E-2</v>
      </c>
      <c r="O243" s="8">
        <f t="shared" ca="1" si="43"/>
        <v>-8.9191274183619655E-3</v>
      </c>
      <c r="Q243" s="7">
        <f t="shared" si="44"/>
        <v>11.60000000000003</v>
      </c>
      <c r="R243" s="8">
        <f t="shared" ca="1" si="45"/>
        <v>8.1521941127040663E-3</v>
      </c>
      <c r="S243" s="8">
        <f t="shared" ca="1" si="46"/>
        <v>5.465719196752282</v>
      </c>
      <c r="T243" s="8">
        <f t="shared" ca="1" si="47"/>
        <v>7.8674378051067455</v>
      </c>
    </row>
    <row r="244" spans="1:20" x14ac:dyDescent="0.25">
      <c r="A244" s="7">
        <f>A243+dt</f>
        <v>11.650000000000031</v>
      </c>
      <c r="B244" s="8">
        <f t="shared" ca="1" si="36"/>
        <v>-5.7991207247046518E-3</v>
      </c>
      <c r="C244" s="8">
        <f ca="1">lambda*(a-B243)*dt</f>
        <v>-8.1521941127040668E-4</v>
      </c>
      <c r="D244" s="8">
        <f ca="1">sigma*SQRT(dt)*_xlfn.NORM.S.INV(RAND())</f>
        <v>-1.3136095426138311E-2</v>
      </c>
      <c r="E244" s="8">
        <f t="shared" ca="1" si="37"/>
        <v>-1.3951314837408718E-2</v>
      </c>
      <c r="G244" s="8">
        <f t="shared" ca="1" si="38"/>
        <v>5.455083101326144</v>
      </c>
      <c r="H244" s="8">
        <f>mu*dt</f>
        <v>2.5000000000000005E-3</v>
      </c>
      <c r="I244" s="8">
        <f t="shared" ca="1" si="39"/>
        <v>-1.3136095426138311E-2</v>
      </c>
      <c r="J244" s="8">
        <f t="shared" ca="1" si="40"/>
        <v>-1.063609542613831E-2</v>
      </c>
      <c r="L244" s="8">
        <f t="shared" ca="1" si="41"/>
        <v>7.7837589858524217</v>
      </c>
      <c r="M244" s="8">
        <f ca="1">mu*L243*dt</f>
        <v>1.9668594512766868E-2</v>
      </c>
      <c r="N244" s="8">
        <f t="shared" ca="1" si="42"/>
        <v>-0.10334741376709035</v>
      </c>
      <c r="O244" s="8">
        <f t="shared" ca="1" si="43"/>
        <v>-8.367881925432348E-2</v>
      </c>
      <c r="Q244" s="7">
        <f t="shared" si="44"/>
        <v>11.650000000000031</v>
      </c>
      <c r="R244" s="8">
        <f t="shared" ca="1" si="45"/>
        <v>-5.7991207247046518E-3</v>
      </c>
      <c r="S244" s="8">
        <f t="shared" ca="1" si="46"/>
        <v>5.455083101326144</v>
      </c>
      <c r="T244" s="8">
        <f t="shared" ca="1" si="47"/>
        <v>7.7837589858524217</v>
      </c>
    </row>
    <row r="245" spans="1:20" x14ac:dyDescent="0.25">
      <c r="A245" s="7">
        <f>A244+dt</f>
        <v>11.700000000000031</v>
      </c>
      <c r="B245" s="8">
        <f t="shared" ca="1" si="36"/>
        <v>-3.719400661098834E-3</v>
      </c>
      <c r="C245" s="8">
        <f ca="1">lambda*(a-B244)*dt</f>
        <v>5.799120724704652E-4</v>
      </c>
      <c r="D245" s="8">
        <f ca="1">sigma*SQRT(dt)*_xlfn.NORM.S.INV(RAND())</f>
        <v>1.4998079911353527E-3</v>
      </c>
      <c r="E245" s="8">
        <f t="shared" ca="1" si="37"/>
        <v>2.0797200636058178E-3</v>
      </c>
      <c r="G245" s="8">
        <f t="shared" ca="1" si="38"/>
        <v>5.4590829093172797</v>
      </c>
      <c r="H245" s="8">
        <f>mu*dt</f>
        <v>2.5000000000000005E-3</v>
      </c>
      <c r="I245" s="8">
        <f t="shared" ca="1" si="39"/>
        <v>1.4998079911353527E-3</v>
      </c>
      <c r="J245" s="8">
        <f t="shared" ca="1" si="40"/>
        <v>3.9998079911353537E-3</v>
      </c>
      <c r="L245" s="8">
        <f t="shared" ca="1" si="41"/>
        <v>7.8148925272451057</v>
      </c>
      <c r="M245" s="8">
        <f ca="1">mu*L244*dt</f>
        <v>1.9459397464631059E-2</v>
      </c>
      <c r="N245" s="8">
        <f t="shared" ca="1" si="42"/>
        <v>1.1674143928053072E-2</v>
      </c>
      <c r="O245" s="8">
        <f t="shared" ca="1" si="43"/>
        <v>3.1133541392684129E-2</v>
      </c>
      <c r="Q245" s="7">
        <f t="shared" si="44"/>
        <v>11.700000000000031</v>
      </c>
      <c r="R245" s="8">
        <f t="shared" ca="1" si="45"/>
        <v>-3.719400661098834E-3</v>
      </c>
      <c r="S245" s="8">
        <f t="shared" ca="1" si="46"/>
        <v>5.4590829093172797</v>
      </c>
      <c r="T245" s="8">
        <f t="shared" ca="1" si="47"/>
        <v>7.8148925272451057</v>
      </c>
    </row>
    <row r="246" spans="1:20" x14ac:dyDescent="0.25">
      <c r="A246" s="7">
        <f>A245+dt</f>
        <v>11.750000000000032</v>
      </c>
      <c r="B246" s="8">
        <f t="shared" ca="1" si="36"/>
        <v>-1.4433510037202637E-2</v>
      </c>
      <c r="C246" s="8">
        <f ca="1">lambda*(a-B245)*dt</f>
        <v>3.7194006610988343E-4</v>
      </c>
      <c r="D246" s="8">
        <f ca="1">sigma*SQRT(dt)*_xlfn.NORM.S.INV(RAND())</f>
        <v>-1.1086049442213686E-2</v>
      </c>
      <c r="E246" s="8">
        <f t="shared" ca="1" si="37"/>
        <v>-1.0714109376103804E-2</v>
      </c>
      <c r="G246" s="8">
        <f t="shared" ca="1" si="38"/>
        <v>5.4504968598750656</v>
      </c>
      <c r="H246" s="8">
        <f>mu*dt</f>
        <v>2.5000000000000005E-3</v>
      </c>
      <c r="I246" s="8">
        <f t="shared" ca="1" si="39"/>
        <v>-1.1086049442213686E-2</v>
      </c>
      <c r="J246" s="8">
        <f t="shared" ca="1" si="40"/>
        <v>-8.5860494422136859E-3</v>
      </c>
      <c r="L246" s="8">
        <f t="shared" ca="1" si="41"/>
        <v>7.7477934736205931</v>
      </c>
      <c r="M246" s="8">
        <f ca="1">mu*L245*dt</f>
        <v>1.9537231318112767E-2</v>
      </c>
      <c r="N246" s="8">
        <f t="shared" ca="1" si="42"/>
        <v>-8.6636284942625513E-2</v>
      </c>
      <c r="O246" s="8">
        <f t="shared" ca="1" si="43"/>
        <v>-6.7099053624512739E-2</v>
      </c>
      <c r="Q246" s="7">
        <f t="shared" si="44"/>
        <v>11.750000000000032</v>
      </c>
      <c r="R246" s="8">
        <f t="shared" ca="1" si="45"/>
        <v>-1.4433510037202637E-2</v>
      </c>
      <c r="S246" s="8">
        <f t="shared" ca="1" si="46"/>
        <v>5.4504968598750656</v>
      </c>
      <c r="T246" s="8">
        <f t="shared" ca="1" si="47"/>
        <v>7.7477934736205931</v>
      </c>
    </row>
    <row r="247" spans="1:20" x14ac:dyDescent="0.25">
      <c r="A247" s="7">
        <f>A246+dt</f>
        <v>11.800000000000033</v>
      </c>
      <c r="B247" s="8">
        <f t="shared" ca="1" si="36"/>
        <v>-1.6517174399997885E-2</v>
      </c>
      <c r="C247" s="8">
        <f ca="1">lambda*(a-B246)*dt</f>
        <v>1.4433510037202637E-3</v>
      </c>
      <c r="D247" s="8">
        <f ca="1">sigma*SQRT(dt)*_xlfn.NORM.S.INV(RAND())</f>
        <v>-3.5270153665155099E-3</v>
      </c>
      <c r="E247" s="8">
        <f t="shared" ca="1" si="37"/>
        <v>-2.0836643627952459E-3</v>
      </c>
      <c r="G247" s="8">
        <f t="shared" ca="1" si="38"/>
        <v>5.4494698445085499</v>
      </c>
      <c r="H247" s="8">
        <f>mu*dt</f>
        <v>2.5000000000000005E-3</v>
      </c>
      <c r="I247" s="8">
        <f t="shared" ca="1" si="39"/>
        <v>-3.5270153665155099E-3</v>
      </c>
      <c r="J247" s="8">
        <f t="shared" ca="1" si="40"/>
        <v>-1.0270153665155094E-3</v>
      </c>
      <c r="L247" s="8">
        <f t="shared" ca="1" si="41"/>
        <v>7.7398363706665965</v>
      </c>
      <c r="M247" s="8">
        <f ca="1">mu*L246*dt</f>
        <v>1.9369483684051485E-2</v>
      </c>
      <c r="N247" s="8">
        <f t="shared" ca="1" si="42"/>
        <v>-2.7326586638048413E-2</v>
      </c>
      <c r="O247" s="8">
        <f t="shared" ca="1" si="43"/>
        <v>-7.9571029539969272E-3</v>
      </c>
      <c r="Q247" s="7">
        <f t="shared" si="44"/>
        <v>11.800000000000033</v>
      </c>
      <c r="R247" s="8">
        <f t="shared" ca="1" si="45"/>
        <v>-1.6517174399997885E-2</v>
      </c>
      <c r="S247" s="8">
        <f t="shared" ca="1" si="46"/>
        <v>5.4494698445085499</v>
      </c>
      <c r="T247" s="8">
        <f t="shared" ca="1" si="47"/>
        <v>7.7398363706665965</v>
      </c>
    </row>
    <row r="248" spans="1:20" x14ac:dyDescent="0.25">
      <c r="A248" s="7">
        <f>A247+dt</f>
        <v>11.850000000000033</v>
      </c>
      <c r="B248" s="8">
        <f t="shared" ca="1" si="36"/>
        <v>-2.412071515365382E-2</v>
      </c>
      <c r="C248" s="8">
        <f ca="1">lambda*(a-B247)*dt</f>
        <v>1.6517174399997886E-3</v>
      </c>
      <c r="D248" s="8">
        <f ca="1">sigma*SQRT(dt)*_xlfn.NORM.S.INV(RAND())</f>
        <v>-9.255258193655724E-3</v>
      </c>
      <c r="E248" s="8">
        <f t="shared" ca="1" si="37"/>
        <v>-7.6035407536559352E-3</v>
      </c>
      <c r="G248" s="8">
        <f t="shared" ca="1" si="38"/>
        <v>5.442714586314894</v>
      </c>
      <c r="H248" s="8">
        <f>mu*dt</f>
        <v>2.5000000000000005E-3</v>
      </c>
      <c r="I248" s="8">
        <f t="shared" ca="1" si="39"/>
        <v>-9.255258193655724E-3</v>
      </c>
      <c r="J248" s="8">
        <f t="shared" ca="1" si="40"/>
        <v>-6.7552581936557235E-3</v>
      </c>
      <c r="L248" s="8">
        <f t="shared" ca="1" si="41"/>
        <v>7.687551777606096</v>
      </c>
      <c r="M248" s="8">
        <f ca="1">mu*L247*dt</f>
        <v>1.9349590926666493E-2</v>
      </c>
      <c r="N248" s="8">
        <f t="shared" ca="1" si="42"/>
        <v>-7.1634183987166603E-2</v>
      </c>
      <c r="O248" s="8">
        <f t="shared" ca="1" si="43"/>
        <v>-5.2284593060500109E-2</v>
      </c>
      <c r="Q248" s="7">
        <f t="shared" si="44"/>
        <v>11.850000000000033</v>
      </c>
      <c r="R248" s="8">
        <f t="shared" ca="1" si="45"/>
        <v>-2.412071515365382E-2</v>
      </c>
      <c r="S248" s="8">
        <f t="shared" ca="1" si="46"/>
        <v>5.442714586314894</v>
      </c>
      <c r="T248" s="8">
        <f t="shared" ca="1" si="47"/>
        <v>7.687551777606096</v>
      </c>
    </row>
    <row r="249" spans="1:20" x14ac:dyDescent="0.25">
      <c r="A249" s="7">
        <f>A248+dt</f>
        <v>11.900000000000034</v>
      </c>
      <c r="B249" s="8">
        <f t="shared" ca="1" si="36"/>
        <v>-3.0672280758954722E-2</v>
      </c>
      <c r="C249" s="8">
        <f ca="1">lambda*(a-B248)*dt</f>
        <v>2.4120715153653823E-3</v>
      </c>
      <c r="D249" s="8">
        <f ca="1">sigma*SQRT(dt)*_xlfn.NORM.S.INV(RAND())</f>
        <v>-8.963637120666286E-3</v>
      </c>
      <c r="E249" s="8">
        <f t="shared" ca="1" si="37"/>
        <v>-6.5515656053009037E-3</v>
      </c>
      <c r="G249" s="8">
        <f t="shared" ca="1" si="38"/>
        <v>5.4362509491942275</v>
      </c>
      <c r="H249" s="8">
        <f>mu*dt</f>
        <v>2.5000000000000005E-3</v>
      </c>
      <c r="I249" s="8">
        <f t="shared" ca="1" si="39"/>
        <v>-8.963637120666286E-3</v>
      </c>
      <c r="J249" s="8">
        <f t="shared" ca="1" si="40"/>
        <v>-6.4636371206662855E-3</v>
      </c>
      <c r="L249" s="8">
        <f t="shared" ca="1" si="41"/>
        <v>7.6378622325693168</v>
      </c>
      <c r="M249" s="8">
        <f ca="1">mu*L248*dt</f>
        <v>1.9218879444015242E-2</v>
      </c>
      <c r="N249" s="8">
        <f t="shared" ca="1" si="42"/>
        <v>-6.8908424480794095E-2</v>
      </c>
      <c r="O249" s="8">
        <f t="shared" ca="1" si="43"/>
        <v>-4.9689545036778852E-2</v>
      </c>
      <c r="Q249" s="7">
        <f t="shared" si="44"/>
        <v>11.900000000000034</v>
      </c>
      <c r="R249" s="8">
        <f t="shared" ca="1" si="45"/>
        <v>-3.0672280758954722E-2</v>
      </c>
      <c r="S249" s="8">
        <f t="shared" ca="1" si="46"/>
        <v>5.4362509491942275</v>
      </c>
      <c r="T249" s="8">
        <f t="shared" ca="1" si="47"/>
        <v>7.6378622325693168</v>
      </c>
    </row>
    <row r="250" spans="1:20" x14ac:dyDescent="0.25">
      <c r="A250" s="7">
        <f>A249+dt</f>
        <v>11.950000000000035</v>
      </c>
      <c r="B250" s="8">
        <f t="shared" ca="1" si="36"/>
        <v>-1.6321103320663714E-2</v>
      </c>
      <c r="C250" s="8">
        <f ca="1">lambda*(a-B249)*dt</f>
        <v>3.0672280758954722E-3</v>
      </c>
      <c r="D250" s="8">
        <f ca="1">sigma*SQRT(dt)*_xlfn.NORM.S.INV(RAND())</f>
        <v>1.1283949362395537E-2</v>
      </c>
      <c r="E250" s="8">
        <f t="shared" ca="1" si="37"/>
        <v>1.4351177438291009E-2</v>
      </c>
      <c r="G250" s="8">
        <f t="shared" ca="1" si="38"/>
        <v>5.4500348985566234</v>
      </c>
      <c r="H250" s="8">
        <f>mu*dt</f>
        <v>2.5000000000000005E-3</v>
      </c>
      <c r="I250" s="8">
        <f t="shared" ca="1" si="39"/>
        <v>1.1283949362395537E-2</v>
      </c>
      <c r="J250" s="8">
        <f t="shared" ca="1" si="40"/>
        <v>1.3783949362395537E-2</v>
      </c>
      <c r="L250" s="8">
        <f t="shared" ca="1" si="41"/>
        <v>7.7431421388200059</v>
      </c>
      <c r="M250" s="8">
        <f ca="1">mu*L249*dt</f>
        <v>1.9094655581423293E-2</v>
      </c>
      <c r="N250" s="8">
        <f t="shared" ca="1" si="42"/>
        <v>8.6185250669265495E-2</v>
      </c>
      <c r="O250" s="8">
        <f t="shared" ca="1" si="43"/>
        <v>0.10527990625068878</v>
      </c>
      <c r="Q250" s="7">
        <f t="shared" si="44"/>
        <v>11.950000000000035</v>
      </c>
      <c r="R250" s="8">
        <f t="shared" ca="1" si="45"/>
        <v>-1.6321103320663714E-2</v>
      </c>
      <c r="S250" s="8">
        <f t="shared" ca="1" si="46"/>
        <v>5.4500348985566234</v>
      </c>
      <c r="T250" s="8">
        <f t="shared" ca="1" si="47"/>
        <v>7.7431421388200059</v>
      </c>
    </row>
    <row r="251" spans="1:20" x14ac:dyDescent="0.25">
      <c r="A251" s="7">
        <f>A250+dt</f>
        <v>12.000000000000036</v>
      </c>
      <c r="B251" s="8">
        <f t="shared" ca="1" si="36"/>
        <v>-9.6376744807713279E-3</v>
      </c>
      <c r="C251" s="8">
        <f ca="1">lambda*(a-B250)*dt</f>
        <v>1.6321103320663716E-3</v>
      </c>
      <c r="D251" s="8">
        <f ca="1">sigma*SQRT(dt)*_xlfn.NORM.S.INV(RAND())</f>
        <v>5.0513185078260147E-3</v>
      </c>
      <c r="E251" s="8">
        <f t="shared" ca="1" si="37"/>
        <v>6.6834288398923865E-3</v>
      </c>
      <c r="G251" s="8">
        <f t="shared" ca="1" si="38"/>
        <v>5.4575862170644491</v>
      </c>
      <c r="H251" s="8">
        <f>mu*dt</f>
        <v>2.5000000000000005E-3</v>
      </c>
      <c r="I251" s="8">
        <f t="shared" ca="1" si="39"/>
        <v>5.0513185078260147E-3</v>
      </c>
      <c r="J251" s="8">
        <f t="shared" ca="1" si="40"/>
        <v>7.5513185078260152E-3</v>
      </c>
      <c r="L251" s="8">
        <f t="shared" ca="1" si="41"/>
        <v>7.8016130713616052</v>
      </c>
      <c r="M251" s="8">
        <f ca="1">mu*L250*dt</f>
        <v>1.9357855347050017E-2</v>
      </c>
      <c r="N251" s="8">
        <f t="shared" ca="1" si="42"/>
        <v>3.9113077194549005E-2</v>
      </c>
      <c r="O251" s="8">
        <f t="shared" ca="1" si="43"/>
        <v>5.8470932541599019E-2</v>
      </c>
      <c r="Q251" s="7">
        <f t="shared" si="44"/>
        <v>12.000000000000036</v>
      </c>
      <c r="R251" s="8">
        <f t="shared" ca="1" si="45"/>
        <v>-9.6376744807713279E-3</v>
      </c>
      <c r="S251" s="8">
        <f t="shared" ca="1" si="46"/>
        <v>5.4575862170644491</v>
      </c>
      <c r="T251" s="8">
        <f t="shared" ca="1" si="47"/>
        <v>7.8016130713616052</v>
      </c>
    </row>
    <row r="252" spans="1:20" x14ac:dyDescent="0.25">
      <c r="A252" s="7">
        <f>A251+dt</f>
        <v>12.050000000000036</v>
      </c>
      <c r="B252" s="8">
        <f t="shared" ca="1" si="36"/>
        <v>-7.7920117551718258E-3</v>
      </c>
      <c r="C252" s="8">
        <f ca="1">lambda*(a-B251)*dt</f>
        <v>9.6376744807713283E-4</v>
      </c>
      <c r="D252" s="8">
        <f ca="1">sigma*SQRT(dt)*_xlfn.NORM.S.INV(RAND())</f>
        <v>8.818952775223695E-4</v>
      </c>
      <c r="E252" s="8">
        <f t="shared" ca="1" si="37"/>
        <v>1.8456627255995024E-3</v>
      </c>
      <c r="G252" s="8">
        <f t="shared" ca="1" si="38"/>
        <v>5.4609681123419715</v>
      </c>
      <c r="H252" s="8">
        <f>mu*dt</f>
        <v>2.5000000000000005E-3</v>
      </c>
      <c r="I252" s="8">
        <f t="shared" ca="1" si="39"/>
        <v>8.818952775223695E-4</v>
      </c>
      <c r="J252" s="8">
        <f t="shared" ca="1" si="40"/>
        <v>3.3818952775223699E-3</v>
      </c>
      <c r="L252" s="8">
        <f t="shared" ca="1" si="41"/>
        <v>7.8279973097647</v>
      </c>
      <c r="M252" s="8">
        <f ca="1">mu*L251*dt</f>
        <v>1.9504032678404018E-2</v>
      </c>
      <c r="N252" s="8">
        <f t="shared" ca="1" si="42"/>
        <v>6.8802057246905883E-3</v>
      </c>
      <c r="O252" s="8">
        <f t="shared" ca="1" si="43"/>
        <v>2.6384238403094607E-2</v>
      </c>
      <c r="Q252" s="7">
        <f t="shared" si="44"/>
        <v>12.050000000000036</v>
      </c>
      <c r="R252" s="8">
        <f t="shared" ca="1" si="45"/>
        <v>-7.7920117551718258E-3</v>
      </c>
      <c r="S252" s="8">
        <f t="shared" ca="1" si="46"/>
        <v>5.4609681123419715</v>
      </c>
      <c r="T252" s="8">
        <f t="shared" ca="1" si="47"/>
        <v>7.8279973097647</v>
      </c>
    </row>
    <row r="253" spans="1:20" x14ac:dyDescent="0.25">
      <c r="A253" s="7">
        <f>A252+dt</f>
        <v>12.100000000000037</v>
      </c>
      <c r="B253" s="8">
        <f t="shared" ca="1" si="36"/>
        <v>2.156231578180505E-3</v>
      </c>
      <c r="C253" s="8">
        <f ca="1">lambda*(a-B252)*dt</f>
        <v>7.7920117551718258E-4</v>
      </c>
      <c r="D253" s="8">
        <f ca="1">sigma*SQRT(dt)*_xlfn.NORM.S.INV(RAND())</f>
        <v>9.1690421578351482E-3</v>
      </c>
      <c r="E253" s="8">
        <f t="shared" ca="1" si="37"/>
        <v>9.9482433333523308E-3</v>
      </c>
      <c r="G253" s="8">
        <f t="shared" ca="1" si="38"/>
        <v>5.4726371544998065</v>
      </c>
      <c r="H253" s="8">
        <f>mu*dt</f>
        <v>2.5000000000000005E-3</v>
      </c>
      <c r="I253" s="8">
        <f t="shared" ca="1" si="39"/>
        <v>9.1690421578351482E-3</v>
      </c>
      <c r="J253" s="8">
        <f t="shared" ca="1" si="40"/>
        <v>1.1669042157835149E-2</v>
      </c>
      <c r="L253" s="8">
        <f t="shared" ca="1" si="41"/>
        <v>7.9193425403837647</v>
      </c>
      <c r="M253" s="8">
        <f ca="1">mu*L252*dt</f>
        <v>1.9569993274411751E-2</v>
      </c>
      <c r="N253" s="8">
        <f t="shared" ca="1" si="42"/>
        <v>7.1775237344652659E-2</v>
      </c>
      <c r="O253" s="8">
        <f t="shared" ca="1" si="43"/>
        <v>9.134523061906441E-2</v>
      </c>
      <c r="Q253" s="7">
        <f t="shared" si="44"/>
        <v>12.100000000000037</v>
      </c>
      <c r="R253" s="8">
        <f t="shared" ca="1" si="45"/>
        <v>2.156231578180505E-3</v>
      </c>
      <c r="S253" s="8">
        <f t="shared" ca="1" si="46"/>
        <v>5.4726371544998065</v>
      </c>
      <c r="T253" s="8">
        <f t="shared" ca="1" si="47"/>
        <v>7.9193425403837647</v>
      </c>
    </row>
    <row r="254" spans="1:20" x14ac:dyDescent="0.25">
      <c r="A254" s="7">
        <f>A253+dt</f>
        <v>12.150000000000038</v>
      </c>
      <c r="B254" s="8">
        <f t="shared" ca="1" si="36"/>
        <v>-6.2190971651008096E-3</v>
      </c>
      <c r="C254" s="8">
        <f ca="1">lambda*(a-B253)*dt</f>
        <v>-2.156231578180505E-4</v>
      </c>
      <c r="D254" s="8">
        <f ca="1">sigma*SQRT(dt)*_xlfn.NORM.S.INV(RAND())</f>
        <v>-8.1597055854632644E-3</v>
      </c>
      <c r="E254" s="8">
        <f t="shared" ca="1" si="37"/>
        <v>-8.3753287432813146E-3</v>
      </c>
      <c r="G254" s="8">
        <f t="shared" ca="1" si="38"/>
        <v>5.466977448914343</v>
      </c>
      <c r="H254" s="8">
        <f>mu*dt</f>
        <v>2.5000000000000005E-3</v>
      </c>
      <c r="I254" s="8">
        <f t="shared" ca="1" si="39"/>
        <v>-8.1597055854632644E-3</v>
      </c>
      <c r="J254" s="8">
        <f t="shared" ca="1" si="40"/>
        <v>-5.6597055854632639E-3</v>
      </c>
      <c r="L254" s="8">
        <f t="shared" ca="1" si="41"/>
        <v>7.8745213931747582</v>
      </c>
      <c r="M254" s="8">
        <f ca="1">mu*L253*dt</f>
        <v>1.9798356350959414E-2</v>
      </c>
      <c r="N254" s="8">
        <f t="shared" ca="1" si="42"/>
        <v>-6.4619503559966249E-2</v>
      </c>
      <c r="O254" s="8">
        <f t="shared" ca="1" si="43"/>
        <v>-4.4821147209006831E-2</v>
      </c>
      <c r="Q254" s="7">
        <f t="shared" si="44"/>
        <v>12.150000000000038</v>
      </c>
      <c r="R254" s="8">
        <f t="shared" ca="1" si="45"/>
        <v>-6.2190971651008096E-3</v>
      </c>
      <c r="S254" s="8">
        <f t="shared" ca="1" si="46"/>
        <v>5.466977448914343</v>
      </c>
      <c r="T254" s="8">
        <f t="shared" ca="1" si="47"/>
        <v>7.8745213931747582</v>
      </c>
    </row>
    <row r="255" spans="1:20" x14ac:dyDescent="0.25">
      <c r="A255" s="7">
        <f>A254+dt</f>
        <v>12.200000000000038</v>
      </c>
      <c r="B255" s="8">
        <f t="shared" ca="1" si="36"/>
        <v>-8.3646555224921905E-3</v>
      </c>
      <c r="C255" s="8">
        <f ca="1">lambda*(a-B254)*dt</f>
        <v>6.21909716510081E-4</v>
      </c>
      <c r="D255" s="8">
        <f ca="1">sigma*SQRT(dt)*_xlfn.NORM.S.INV(RAND())</f>
        <v>-2.7674680739014626E-3</v>
      </c>
      <c r="E255" s="8">
        <f t="shared" ca="1" si="37"/>
        <v>-2.1455583573913818E-3</v>
      </c>
      <c r="G255" s="8">
        <f t="shared" ca="1" si="38"/>
        <v>5.4667099808404416</v>
      </c>
      <c r="H255" s="8">
        <f>mu*dt</f>
        <v>2.5000000000000005E-3</v>
      </c>
      <c r="I255" s="8">
        <f t="shared" ca="1" si="39"/>
        <v>-2.7674680739014626E-3</v>
      </c>
      <c r="J255" s="8">
        <f t="shared" ca="1" si="40"/>
        <v>-2.6746807390146208E-4</v>
      </c>
      <c r="L255" s="8">
        <f t="shared" ca="1" si="41"/>
        <v>7.8724152101048297</v>
      </c>
      <c r="M255" s="8">
        <f ca="1">mu*L254*dt</f>
        <v>1.9686303482936898E-2</v>
      </c>
      <c r="N255" s="8">
        <f t="shared" ca="1" si="42"/>
        <v>-2.1792486552865208E-2</v>
      </c>
      <c r="O255" s="8">
        <f t="shared" ca="1" si="43"/>
        <v>-2.1061830699283107E-3</v>
      </c>
      <c r="Q255" s="7">
        <f t="shared" si="44"/>
        <v>12.200000000000038</v>
      </c>
      <c r="R255" s="8">
        <f t="shared" ca="1" si="45"/>
        <v>-8.3646555224921905E-3</v>
      </c>
      <c r="S255" s="8">
        <f t="shared" ca="1" si="46"/>
        <v>5.4667099808404416</v>
      </c>
      <c r="T255" s="8">
        <f t="shared" ca="1" si="47"/>
        <v>7.8724152101048297</v>
      </c>
    </row>
    <row r="256" spans="1:20" x14ac:dyDescent="0.25">
      <c r="A256" s="7">
        <f>A255+dt</f>
        <v>12.250000000000039</v>
      </c>
      <c r="B256" s="8">
        <f t="shared" ca="1" si="36"/>
        <v>-1.8204870101161647E-2</v>
      </c>
      <c r="C256" s="8">
        <f ca="1">lambda*(a-B255)*dt</f>
        <v>8.3646555224921911E-4</v>
      </c>
      <c r="D256" s="8">
        <f ca="1">sigma*SQRT(dt)*_xlfn.NORM.S.INV(RAND())</f>
        <v>-1.0676680130918676E-2</v>
      </c>
      <c r="E256" s="8">
        <f t="shared" ca="1" si="37"/>
        <v>-9.8402145786694577E-3</v>
      </c>
      <c r="G256" s="8">
        <f t="shared" ca="1" si="38"/>
        <v>5.4585333007095231</v>
      </c>
      <c r="H256" s="8">
        <f>mu*dt</f>
        <v>2.5000000000000005E-3</v>
      </c>
      <c r="I256" s="8">
        <f t="shared" ca="1" si="39"/>
        <v>-1.0676680130918676E-2</v>
      </c>
      <c r="J256" s="8">
        <f t="shared" ca="1" si="40"/>
        <v>-8.1766801309186756E-3</v>
      </c>
      <c r="L256" s="8">
        <f t="shared" ca="1" si="41"/>
        <v>7.8080449890740233</v>
      </c>
      <c r="M256" s="8">
        <f ca="1">mu*L255*dt</f>
        <v>1.9681038025262079E-2</v>
      </c>
      <c r="N256" s="8">
        <f t="shared" ca="1" si="42"/>
        <v>-8.4051259056068209E-2</v>
      </c>
      <c r="O256" s="8">
        <f t="shared" ca="1" si="43"/>
        <v>-6.4370221030806127E-2</v>
      </c>
      <c r="Q256" s="7">
        <f t="shared" si="44"/>
        <v>12.250000000000039</v>
      </c>
      <c r="R256" s="8">
        <f t="shared" ca="1" si="45"/>
        <v>-1.8204870101161647E-2</v>
      </c>
      <c r="S256" s="8">
        <f t="shared" ca="1" si="46"/>
        <v>5.4585333007095231</v>
      </c>
      <c r="T256" s="8">
        <f t="shared" ca="1" si="47"/>
        <v>7.8080449890740233</v>
      </c>
    </row>
    <row r="257" spans="1:20" x14ac:dyDescent="0.25">
      <c r="A257" s="7">
        <f>A256+dt</f>
        <v>12.30000000000004</v>
      </c>
      <c r="B257" s="8">
        <f t="shared" ca="1" si="36"/>
        <v>-3.1578371307792577E-2</v>
      </c>
      <c r="C257" s="8">
        <f ca="1">lambda*(a-B256)*dt</f>
        <v>1.8204870101161648E-3</v>
      </c>
      <c r="D257" s="8">
        <f ca="1">sigma*SQRT(dt)*_xlfn.NORM.S.INV(RAND())</f>
        <v>-1.5193988216747096E-2</v>
      </c>
      <c r="E257" s="8">
        <f t="shared" ca="1" si="37"/>
        <v>-1.3373501206630931E-2</v>
      </c>
      <c r="G257" s="8">
        <f t="shared" ca="1" si="38"/>
        <v>5.445839312492776</v>
      </c>
      <c r="H257" s="8">
        <f>mu*dt</f>
        <v>2.5000000000000005E-3</v>
      </c>
      <c r="I257" s="8">
        <f t="shared" ca="1" si="39"/>
        <v>-1.5193988216747096E-2</v>
      </c>
      <c r="J257" s="8">
        <f t="shared" ca="1" si="40"/>
        <v>-1.2693988216747096E-2</v>
      </c>
      <c r="L257" s="8">
        <f t="shared" ca="1" si="41"/>
        <v>7.7089297579868861</v>
      </c>
      <c r="M257" s="8">
        <f ca="1">mu*L256*dt</f>
        <v>1.952011247268506E-2</v>
      </c>
      <c r="N257" s="8">
        <f t="shared" ca="1" si="42"/>
        <v>-0.11863534355982192</v>
      </c>
      <c r="O257" s="8">
        <f t="shared" ca="1" si="43"/>
        <v>-9.9115231087136851E-2</v>
      </c>
      <c r="Q257" s="7">
        <f t="shared" si="44"/>
        <v>12.30000000000004</v>
      </c>
      <c r="R257" s="8">
        <f t="shared" ca="1" si="45"/>
        <v>-3.1578371307792577E-2</v>
      </c>
      <c r="S257" s="8">
        <f t="shared" ca="1" si="46"/>
        <v>5.445839312492776</v>
      </c>
      <c r="T257" s="8">
        <f t="shared" ca="1" si="47"/>
        <v>7.7089297579868861</v>
      </c>
    </row>
    <row r="258" spans="1:20" x14ac:dyDescent="0.25">
      <c r="A258" s="7">
        <f>A257+dt</f>
        <v>12.350000000000041</v>
      </c>
      <c r="B258" s="8">
        <f t="shared" ca="1" si="36"/>
        <v>-1.2981576030074465E-2</v>
      </c>
      <c r="C258" s="8">
        <f ca="1">lambda*(a-B257)*dt</f>
        <v>3.1578371307792578E-3</v>
      </c>
      <c r="D258" s="8">
        <f ca="1">sigma*SQRT(dt)*_xlfn.NORM.S.INV(RAND())</f>
        <v>1.5438958146938854E-2</v>
      </c>
      <c r="E258" s="8">
        <f t="shared" ca="1" si="37"/>
        <v>1.8596795277718112E-2</v>
      </c>
      <c r="G258" s="8">
        <f t="shared" ca="1" si="38"/>
        <v>5.4637782706397147</v>
      </c>
      <c r="H258" s="8">
        <f>mu*dt</f>
        <v>2.5000000000000005E-3</v>
      </c>
      <c r="I258" s="8">
        <f t="shared" ca="1" si="39"/>
        <v>1.5438958146938854E-2</v>
      </c>
      <c r="J258" s="8">
        <f t="shared" ca="1" si="40"/>
        <v>1.7938958146938855E-2</v>
      </c>
      <c r="L258" s="8">
        <f t="shared" ca="1" si="41"/>
        <v>7.8472199262731044</v>
      </c>
      <c r="M258" s="8">
        <f ca="1">mu*L257*dt</f>
        <v>1.9272324394967219E-2</v>
      </c>
      <c r="N258" s="8">
        <f t="shared" ca="1" si="42"/>
        <v>0.119017843891251</v>
      </c>
      <c r="O258" s="8">
        <f t="shared" ca="1" si="43"/>
        <v>0.13829016828621821</v>
      </c>
      <c r="Q258" s="7">
        <f t="shared" si="44"/>
        <v>12.350000000000041</v>
      </c>
      <c r="R258" s="8">
        <f t="shared" ca="1" si="45"/>
        <v>-1.2981576030074465E-2</v>
      </c>
      <c r="S258" s="8">
        <f t="shared" ca="1" si="46"/>
        <v>5.4637782706397147</v>
      </c>
      <c r="T258" s="8">
        <f t="shared" ca="1" si="47"/>
        <v>7.8472199262731044</v>
      </c>
    </row>
    <row r="259" spans="1:20" x14ac:dyDescent="0.25">
      <c r="A259" s="7">
        <f>A258+dt</f>
        <v>12.400000000000041</v>
      </c>
      <c r="B259" s="8">
        <f t="shared" ca="1" si="36"/>
        <v>-3.2591137236266332E-2</v>
      </c>
      <c r="C259" s="8">
        <f ca="1">lambda*(a-B258)*dt</f>
        <v>1.2981576030074466E-3</v>
      </c>
      <c r="D259" s="8">
        <f ca="1">sigma*SQRT(dt)*_xlfn.NORM.S.INV(RAND())</f>
        <v>-2.0907718809199317E-2</v>
      </c>
      <c r="E259" s="8">
        <f t="shared" ca="1" si="37"/>
        <v>-1.960956120619187E-2</v>
      </c>
      <c r="G259" s="8">
        <f t="shared" ca="1" si="38"/>
        <v>5.4453705518305151</v>
      </c>
      <c r="H259" s="8">
        <f>mu*dt</f>
        <v>2.5000000000000005E-3</v>
      </c>
      <c r="I259" s="8">
        <f t="shared" ca="1" si="39"/>
        <v>-2.0907718809199317E-2</v>
      </c>
      <c r="J259" s="8">
        <f t="shared" ca="1" si="40"/>
        <v>-1.8407718809199315E-2</v>
      </c>
      <c r="L259" s="8">
        <f t="shared" ca="1" si="41"/>
        <v>7.7027705084363234</v>
      </c>
      <c r="M259" s="8">
        <f ca="1">mu*L258*dt</f>
        <v>1.9618049815682763E-2</v>
      </c>
      <c r="N259" s="8">
        <f t="shared" ca="1" si="42"/>
        <v>-0.16406746765246386</v>
      </c>
      <c r="O259" s="8">
        <f t="shared" ca="1" si="43"/>
        <v>-0.14444941783678109</v>
      </c>
      <c r="Q259" s="7">
        <f t="shared" si="44"/>
        <v>12.400000000000041</v>
      </c>
      <c r="R259" s="8">
        <f t="shared" ca="1" si="45"/>
        <v>-3.2591137236266332E-2</v>
      </c>
      <c r="S259" s="8">
        <f t="shared" ca="1" si="46"/>
        <v>5.4453705518305151</v>
      </c>
      <c r="T259" s="8">
        <f t="shared" ca="1" si="47"/>
        <v>7.7027705084363234</v>
      </c>
    </row>
    <row r="260" spans="1:20" x14ac:dyDescent="0.25">
      <c r="A260" s="7">
        <f>A259+dt</f>
        <v>12.450000000000042</v>
      </c>
      <c r="B260" s="8">
        <f t="shared" ca="1" si="36"/>
        <v>-3.262431112986424E-2</v>
      </c>
      <c r="C260" s="8">
        <f ca="1">lambda*(a-B259)*dt</f>
        <v>3.2591137236266336E-3</v>
      </c>
      <c r="D260" s="8">
        <f ca="1">sigma*SQRT(dt)*_xlfn.NORM.S.INV(RAND())</f>
        <v>-3.2922876172245398E-3</v>
      </c>
      <c r="E260" s="8">
        <f t="shared" ca="1" si="37"/>
        <v>-3.3173893597906231E-5</v>
      </c>
      <c r="G260" s="8">
        <f t="shared" ca="1" si="38"/>
        <v>5.4445782642132903</v>
      </c>
      <c r="H260" s="8">
        <f>mu*dt</f>
        <v>2.5000000000000005E-3</v>
      </c>
      <c r="I260" s="8">
        <f t="shared" ca="1" si="39"/>
        <v>-3.2922876172245398E-3</v>
      </c>
      <c r="J260" s="8">
        <f t="shared" ca="1" si="40"/>
        <v>-7.922876172245393E-4</v>
      </c>
      <c r="L260" s="8">
        <f t="shared" ca="1" si="41"/>
        <v>7.6966676987441671</v>
      </c>
      <c r="M260" s="8">
        <f ca="1">mu*L259*dt</f>
        <v>1.925692627109081E-2</v>
      </c>
      <c r="N260" s="8">
        <f t="shared" ca="1" si="42"/>
        <v>-2.5359735963247278E-2</v>
      </c>
      <c r="O260" s="8">
        <f t="shared" ca="1" si="43"/>
        <v>-6.1028096921564683E-3</v>
      </c>
      <c r="Q260" s="7">
        <f t="shared" si="44"/>
        <v>12.450000000000042</v>
      </c>
      <c r="R260" s="8">
        <f t="shared" ca="1" si="45"/>
        <v>-3.262431112986424E-2</v>
      </c>
      <c r="S260" s="8">
        <f t="shared" ca="1" si="46"/>
        <v>5.4445782642132903</v>
      </c>
      <c r="T260" s="8">
        <f t="shared" ca="1" si="47"/>
        <v>7.6966676987441671</v>
      </c>
    </row>
    <row r="261" spans="1:20" x14ac:dyDescent="0.25">
      <c r="A261" s="7">
        <f>A260+dt</f>
        <v>12.500000000000043</v>
      </c>
      <c r="B261" s="8">
        <f t="shared" ca="1" si="36"/>
        <v>-3.4331814624083835E-2</v>
      </c>
      <c r="C261" s="8">
        <f ca="1">lambda*(a-B260)*dt</f>
        <v>3.2624311129864241E-3</v>
      </c>
      <c r="D261" s="8">
        <f ca="1">sigma*SQRT(dt)*_xlfn.NORM.S.INV(RAND())</f>
        <v>-4.9699346072060169E-3</v>
      </c>
      <c r="E261" s="8">
        <f t="shared" ca="1" si="37"/>
        <v>-1.7075034942195927E-3</v>
      </c>
      <c r="G261" s="8">
        <f t="shared" ca="1" si="38"/>
        <v>5.4421083296060839</v>
      </c>
      <c r="H261" s="8">
        <f>mu*dt</f>
        <v>2.5000000000000005E-3</v>
      </c>
      <c r="I261" s="8">
        <f t="shared" ca="1" si="39"/>
        <v>-4.9699346072060169E-3</v>
      </c>
      <c r="J261" s="8">
        <f t="shared" ca="1" si="40"/>
        <v>-2.4699346072060164E-3</v>
      </c>
      <c r="L261" s="8">
        <f t="shared" ca="1" si="41"/>
        <v>7.6776574328348746</v>
      </c>
      <c r="M261" s="8">
        <f ca="1">mu*L260*dt</f>
        <v>1.924166924686042E-2</v>
      </c>
      <c r="N261" s="8">
        <f t="shared" ca="1" si="42"/>
        <v>-3.8251935156153327E-2</v>
      </c>
      <c r="O261" s="8">
        <f t="shared" ca="1" si="43"/>
        <v>-1.9010265909292907E-2</v>
      </c>
      <c r="Q261" s="7">
        <f t="shared" si="44"/>
        <v>12.500000000000043</v>
      </c>
      <c r="R261" s="8">
        <f t="shared" ca="1" si="45"/>
        <v>-3.4331814624083835E-2</v>
      </c>
      <c r="S261" s="8">
        <f t="shared" ca="1" si="46"/>
        <v>5.4421083296060839</v>
      </c>
      <c r="T261" s="8">
        <f t="shared" ca="1" si="47"/>
        <v>7.6776574328348746</v>
      </c>
    </row>
    <row r="262" spans="1:20" x14ac:dyDescent="0.25">
      <c r="A262" s="7">
        <f>A261+dt</f>
        <v>12.550000000000043</v>
      </c>
      <c r="B262" s="8">
        <f t="shared" ca="1" si="36"/>
        <v>-1.014648286100921E-2</v>
      </c>
      <c r="C262" s="8">
        <f ca="1">lambda*(a-B261)*dt</f>
        <v>3.4331814624083837E-3</v>
      </c>
      <c r="D262" s="8">
        <f ca="1">sigma*SQRT(dt)*_xlfn.NORM.S.INV(RAND())</f>
        <v>2.0752150300666242E-2</v>
      </c>
      <c r="E262" s="8">
        <f t="shared" ca="1" si="37"/>
        <v>2.4185331763074625E-2</v>
      </c>
      <c r="G262" s="8">
        <f t="shared" ca="1" si="38"/>
        <v>5.4653604799067503</v>
      </c>
      <c r="H262" s="8">
        <f>mu*dt</f>
        <v>2.5000000000000005E-3</v>
      </c>
      <c r="I262" s="8">
        <f t="shared" ca="1" si="39"/>
        <v>2.0752150300666242E-2</v>
      </c>
      <c r="J262" s="8">
        <f t="shared" ca="1" si="40"/>
        <v>2.3252150300666241E-2</v>
      </c>
      <c r="L262" s="8">
        <f t="shared" ca="1" si="41"/>
        <v>7.8561794774201781</v>
      </c>
      <c r="M262" s="8">
        <f ca="1">mu*L261*dt</f>
        <v>1.9194143582087188E-2</v>
      </c>
      <c r="N262" s="8">
        <f t="shared" ca="1" si="42"/>
        <v>0.15932790100321664</v>
      </c>
      <c r="O262" s="8">
        <f t="shared" ca="1" si="43"/>
        <v>0.17852204458530382</v>
      </c>
      <c r="Q262" s="7">
        <f t="shared" si="44"/>
        <v>12.550000000000043</v>
      </c>
      <c r="R262" s="8">
        <f t="shared" ca="1" si="45"/>
        <v>-1.014648286100921E-2</v>
      </c>
      <c r="S262" s="8">
        <f t="shared" ca="1" si="46"/>
        <v>5.4653604799067503</v>
      </c>
      <c r="T262" s="8">
        <f t="shared" ca="1" si="47"/>
        <v>7.8561794774201781</v>
      </c>
    </row>
    <row r="263" spans="1:20" x14ac:dyDescent="0.25">
      <c r="A263" s="7">
        <f>A262+dt</f>
        <v>12.600000000000044</v>
      </c>
      <c r="B263" s="8">
        <f t="shared" ca="1" si="36"/>
        <v>-3.7593004270437356E-3</v>
      </c>
      <c r="C263" s="8">
        <f ca="1">lambda*(a-B262)*dt</f>
        <v>1.0146482861009211E-3</v>
      </c>
      <c r="D263" s="8">
        <f ca="1">sigma*SQRT(dt)*_xlfn.NORM.S.INV(RAND())</f>
        <v>5.3725341478645531E-3</v>
      </c>
      <c r="E263" s="8">
        <f t="shared" ca="1" si="37"/>
        <v>6.3871824339654746E-3</v>
      </c>
      <c r="G263" s="8">
        <f t="shared" ca="1" si="38"/>
        <v>5.4732330140546148</v>
      </c>
      <c r="H263" s="8">
        <f>mu*dt</f>
        <v>2.5000000000000005E-3</v>
      </c>
      <c r="I263" s="8">
        <f t="shared" ca="1" si="39"/>
        <v>5.3725341478645531E-3</v>
      </c>
      <c r="J263" s="8">
        <f t="shared" ca="1" si="40"/>
        <v>7.8725341478645544E-3</v>
      </c>
      <c r="L263" s="8">
        <f t="shared" ca="1" si="41"/>
        <v>7.9180275186279214</v>
      </c>
      <c r="M263" s="8">
        <f ca="1">mu*L262*dt</f>
        <v>1.9640448693550448E-2</v>
      </c>
      <c r="N263" s="8">
        <f t="shared" ca="1" si="42"/>
        <v>4.2207592514192607E-2</v>
      </c>
      <c r="O263" s="8">
        <f t="shared" ca="1" si="43"/>
        <v>6.1848041207743051E-2</v>
      </c>
      <c r="Q263" s="7">
        <f t="shared" si="44"/>
        <v>12.600000000000044</v>
      </c>
      <c r="R263" s="8">
        <f t="shared" ca="1" si="45"/>
        <v>-3.7593004270437356E-3</v>
      </c>
      <c r="S263" s="8">
        <f t="shared" ca="1" si="46"/>
        <v>5.4732330140546148</v>
      </c>
      <c r="T263" s="8">
        <f t="shared" ca="1" si="47"/>
        <v>7.9180275186279214</v>
      </c>
    </row>
    <row r="264" spans="1:20" x14ac:dyDescent="0.25">
      <c r="A264" s="7">
        <f>A263+dt</f>
        <v>12.650000000000045</v>
      </c>
      <c r="B264" s="8">
        <f t="shared" ca="1" si="36"/>
        <v>-2.1544143464481538E-2</v>
      </c>
      <c r="C264" s="8">
        <f ca="1">lambda*(a-B263)*dt</f>
        <v>3.7593004270437358E-4</v>
      </c>
      <c r="D264" s="8">
        <f ca="1">sigma*SQRT(dt)*_xlfn.NORM.S.INV(RAND())</f>
        <v>-1.8160773080142179E-2</v>
      </c>
      <c r="E264" s="8">
        <f t="shared" ca="1" si="37"/>
        <v>-1.7784843037437804E-2</v>
      </c>
      <c r="G264" s="8">
        <f t="shared" ca="1" si="38"/>
        <v>5.4575722409744722</v>
      </c>
      <c r="H264" s="8">
        <f>mu*dt</f>
        <v>2.5000000000000005E-3</v>
      </c>
      <c r="I264" s="8">
        <f t="shared" ca="1" si="39"/>
        <v>-1.8160773080142179E-2</v>
      </c>
      <c r="J264" s="8">
        <f t="shared" ca="1" si="40"/>
        <v>-1.566077308014218E-2</v>
      </c>
      <c r="L264" s="8">
        <f t="shared" ca="1" si="41"/>
        <v>7.7940250864163687</v>
      </c>
      <c r="M264" s="8">
        <f ca="1">mu*L263*dt</f>
        <v>1.9795068796569806E-2</v>
      </c>
      <c r="N264" s="8">
        <f t="shared" ca="1" si="42"/>
        <v>-0.14379750100812294</v>
      </c>
      <c r="O264" s="8">
        <f t="shared" ca="1" si="43"/>
        <v>-0.12400243221155313</v>
      </c>
      <c r="Q264" s="7">
        <f t="shared" si="44"/>
        <v>12.650000000000045</v>
      </c>
      <c r="R264" s="8">
        <f t="shared" ca="1" si="45"/>
        <v>-2.1544143464481538E-2</v>
      </c>
      <c r="S264" s="8">
        <f t="shared" ca="1" si="46"/>
        <v>5.4575722409744722</v>
      </c>
      <c r="T264" s="8">
        <f t="shared" ca="1" si="47"/>
        <v>7.7940250864163687</v>
      </c>
    </row>
    <row r="265" spans="1:20" x14ac:dyDescent="0.25">
      <c r="A265" s="7">
        <f>A264+dt</f>
        <v>12.700000000000045</v>
      </c>
      <c r="B265" s="8">
        <f t="shared" ca="1" si="36"/>
        <v>-6.6877102759767878E-3</v>
      </c>
      <c r="C265" s="8">
        <f ca="1">lambda*(a-B264)*dt</f>
        <v>2.1544143464481539E-3</v>
      </c>
      <c r="D265" s="8">
        <f ca="1">sigma*SQRT(dt)*_xlfn.NORM.S.INV(RAND())</f>
        <v>1.2702018842056597E-2</v>
      </c>
      <c r="E265" s="8">
        <f t="shared" ca="1" si="37"/>
        <v>1.485643318850475E-2</v>
      </c>
      <c r="G265" s="8">
        <f t="shared" ca="1" si="38"/>
        <v>5.4727742598165285</v>
      </c>
      <c r="H265" s="8">
        <f>mu*dt</f>
        <v>2.5000000000000005E-3</v>
      </c>
      <c r="I265" s="8">
        <f t="shared" ca="1" si="39"/>
        <v>1.2702018842056597E-2</v>
      </c>
      <c r="J265" s="8">
        <f t="shared" ca="1" si="40"/>
        <v>1.5202018842056597E-2</v>
      </c>
      <c r="L265" s="8">
        <f t="shared" ca="1" si="41"/>
        <v>7.9125100026355319</v>
      </c>
      <c r="M265" s="8">
        <f ca="1">mu*L264*dt</f>
        <v>1.9485062716040925E-2</v>
      </c>
      <c r="N265" s="8">
        <f t="shared" ca="1" si="42"/>
        <v>9.8999853503122515E-2</v>
      </c>
      <c r="O265" s="8">
        <f t="shared" ca="1" si="43"/>
        <v>0.11848491621916343</v>
      </c>
      <c r="Q265" s="7">
        <f t="shared" si="44"/>
        <v>12.700000000000045</v>
      </c>
      <c r="R265" s="8">
        <f t="shared" ca="1" si="45"/>
        <v>-6.6877102759767878E-3</v>
      </c>
      <c r="S265" s="8">
        <f t="shared" ca="1" si="46"/>
        <v>5.4727742598165285</v>
      </c>
      <c r="T265" s="8">
        <f t="shared" ca="1" si="47"/>
        <v>7.9125100026355319</v>
      </c>
    </row>
    <row r="266" spans="1:20" x14ac:dyDescent="0.25">
      <c r="A266" s="7">
        <f>A265+dt</f>
        <v>12.750000000000046</v>
      </c>
      <c r="B266" s="8">
        <f t="shared" ca="1" si="36"/>
        <v>1.2095406269805006E-2</v>
      </c>
      <c r="C266" s="8">
        <f ca="1">lambda*(a-B265)*dt</f>
        <v>6.6877102759767878E-4</v>
      </c>
      <c r="D266" s="8">
        <f ca="1">sigma*SQRT(dt)*_xlfn.NORM.S.INV(RAND())</f>
        <v>1.8114345518184114E-2</v>
      </c>
      <c r="E266" s="8">
        <f t="shared" ca="1" si="37"/>
        <v>1.8783116545781794E-2</v>
      </c>
      <c r="G266" s="8">
        <f t="shared" ca="1" si="38"/>
        <v>5.4933886053347125</v>
      </c>
      <c r="H266" s="8">
        <f>mu*dt</f>
        <v>2.5000000000000005E-3</v>
      </c>
      <c r="I266" s="8">
        <f t="shared" ca="1" si="39"/>
        <v>1.8114345518184114E-2</v>
      </c>
      <c r="J266" s="8">
        <f t="shared" ca="1" si="40"/>
        <v>2.0614345518184113E-2</v>
      </c>
      <c r="L266" s="8">
        <f t="shared" ca="1" si="41"/>
        <v>8.0756212177459492</v>
      </c>
      <c r="M266" s="8">
        <f ca="1">mu*L265*dt</f>
        <v>1.9781275006588831E-2</v>
      </c>
      <c r="N266" s="8">
        <f t="shared" ca="1" si="42"/>
        <v>0.14332994010382791</v>
      </c>
      <c r="O266" s="8">
        <f t="shared" ca="1" si="43"/>
        <v>0.16311121511041674</v>
      </c>
      <c r="Q266" s="7">
        <f t="shared" si="44"/>
        <v>12.750000000000046</v>
      </c>
      <c r="R266" s="8">
        <f t="shared" ca="1" si="45"/>
        <v>1.2095406269805006E-2</v>
      </c>
      <c r="S266" s="8">
        <f t="shared" ca="1" si="46"/>
        <v>5.4933886053347125</v>
      </c>
      <c r="T266" s="8">
        <f t="shared" ca="1" si="47"/>
        <v>8.0756212177459492</v>
      </c>
    </row>
    <row r="267" spans="1:20" x14ac:dyDescent="0.25">
      <c r="A267" s="7">
        <f>A266+dt</f>
        <v>12.800000000000047</v>
      </c>
      <c r="B267" s="8">
        <f t="shared" ca="1" si="36"/>
        <v>-7.792336386853593E-3</v>
      </c>
      <c r="C267" s="8">
        <f ca="1">lambda*(a-B266)*dt</f>
        <v>-1.2095406269805008E-3</v>
      </c>
      <c r="D267" s="8">
        <f ca="1">sigma*SQRT(dt)*_xlfn.NORM.S.INV(RAND())</f>
        <v>-1.8678202029678098E-2</v>
      </c>
      <c r="E267" s="8">
        <f t="shared" ca="1" si="37"/>
        <v>-1.9887742656658599E-2</v>
      </c>
      <c r="G267" s="8">
        <f t="shared" ca="1" si="38"/>
        <v>5.4772104033050342</v>
      </c>
      <c r="H267" s="8">
        <f>mu*dt</f>
        <v>2.5000000000000005E-3</v>
      </c>
      <c r="I267" s="8">
        <f t="shared" ca="1" si="39"/>
        <v>-1.8678202029678098E-2</v>
      </c>
      <c r="J267" s="8">
        <f t="shared" ca="1" si="40"/>
        <v>-1.6178202029678096E-2</v>
      </c>
      <c r="L267" s="8">
        <f t="shared" ca="1" si="41"/>
        <v>7.9449721861701006</v>
      </c>
      <c r="M267" s="8">
        <f ca="1">mu*L266*dt</f>
        <v>2.0189053044364875E-2</v>
      </c>
      <c r="N267" s="8">
        <f t="shared" ca="1" si="42"/>
        <v>-0.15083808462021389</v>
      </c>
      <c r="O267" s="8">
        <f t="shared" ca="1" si="43"/>
        <v>-0.13064903157584901</v>
      </c>
      <c r="Q267" s="7">
        <f t="shared" si="44"/>
        <v>12.800000000000047</v>
      </c>
      <c r="R267" s="8">
        <f t="shared" ca="1" si="45"/>
        <v>-7.792336386853593E-3</v>
      </c>
      <c r="S267" s="8">
        <f t="shared" ca="1" si="46"/>
        <v>5.4772104033050342</v>
      </c>
      <c r="T267" s="8">
        <f t="shared" ca="1" si="47"/>
        <v>7.9449721861701006</v>
      </c>
    </row>
    <row r="268" spans="1:20" x14ac:dyDescent="0.25">
      <c r="A268" s="7">
        <f>A267+dt</f>
        <v>12.850000000000048</v>
      </c>
      <c r="B268" s="8">
        <f t="shared" ca="1" si="36"/>
        <v>-1.3046259608289647E-2</v>
      </c>
      <c r="C268" s="8">
        <f ca="1">lambda*(a-B267)*dt</f>
        <v>7.7923363868535932E-4</v>
      </c>
      <c r="D268" s="8">
        <f ca="1">sigma*SQRT(dt)*_xlfn.NORM.S.INV(RAND())</f>
        <v>-6.0331568601214138E-3</v>
      </c>
      <c r="E268" s="8">
        <f t="shared" ca="1" si="37"/>
        <v>-5.2539232214360541E-3</v>
      </c>
      <c r="G268" s="8">
        <f t="shared" ca="1" si="38"/>
        <v>5.4736772464449128</v>
      </c>
      <c r="H268" s="8">
        <f>mu*dt</f>
        <v>2.5000000000000005E-3</v>
      </c>
      <c r="I268" s="8">
        <f t="shared" ca="1" si="39"/>
        <v>-6.0331568601214138E-3</v>
      </c>
      <c r="J268" s="8">
        <f t="shared" ca="1" si="40"/>
        <v>-3.5331568601214133E-3</v>
      </c>
      <c r="L268" s="8">
        <f t="shared" ca="1" si="41"/>
        <v>7.9169013531870602</v>
      </c>
      <c r="M268" s="8">
        <f ca="1">mu*L267*dt</f>
        <v>1.9862430465425254E-2</v>
      </c>
      <c r="N268" s="8">
        <f t="shared" ca="1" si="42"/>
        <v>-4.7933263448465969E-2</v>
      </c>
      <c r="O268" s="8">
        <f t="shared" ca="1" si="43"/>
        <v>-2.8070832983040715E-2</v>
      </c>
      <c r="Q268" s="7">
        <f t="shared" si="44"/>
        <v>12.850000000000048</v>
      </c>
      <c r="R268" s="8">
        <f t="shared" ca="1" si="45"/>
        <v>-1.3046259608289647E-2</v>
      </c>
      <c r="S268" s="8">
        <f t="shared" ca="1" si="46"/>
        <v>5.4736772464449128</v>
      </c>
      <c r="T268" s="8">
        <f t="shared" ca="1" si="47"/>
        <v>7.9169013531870602</v>
      </c>
    </row>
    <row r="269" spans="1:20" x14ac:dyDescent="0.25">
      <c r="A269" s="7">
        <f>A268+dt</f>
        <v>12.900000000000048</v>
      </c>
      <c r="B269" s="8">
        <f t="shared" ref="B269:B332" ca="1" si="48">B268+E269</f>
        <v>-1.7182653059321963E-2</v>
      </c>
      <c r="C269" s="8">
        <f ca="1">lambda*(a-B268)*dt</f>
        <v>1.3046259608289648E-3</v>
      </c>
      <c r="D269" s="8">
        <f ca="1">sigma*SQRT(dt)*_xlfn.NORM.S.INV(RAND())</f>
        <v>-5.4410194118612813E-3</v>
      </c>
      <c r="E269" s="8">
        <f t="shared" ref="E269:E332" ca="1" si="49">C269+D269</f>
        <v>-4.136393451032316E-3</v>
      </c>
      <c r="G269" s="8">
        <f t="shared" ref="G269:G332" ca="1" si="50">G268+J269</f>
        <v>5.4707362270330515</v>
      </c>
      <c r="H269" s="8">
        <f>mu*dt</f>
        <v>2.5000000000000005E-3</v>
      </c>
      <c r="I269" s="8">
        <f t="shared" ref="I269:I332" ca="1" si="51">D269</f>
        <v>-5.4410194118612813E-3</v>
      </c>
      <c r="J269" s="8">
        <f t="shared" ref="J269:J332" ca="1" si="52">H269+I269</f>
        <v>-2.9410194118612808E-3</v>
      </c>
      <c r="L269" s="8">
        <f t="shared" ref="L269:L332" ca="1" si="53">L268+O269</f>
        <v>7.8936175926255459</v>
      </c>
      <c r="M269" s="8">
        <f ca="1">mu*L268*dt</f>
        <v>1.9792253382967653E-2</v>
      </c>
      <c r="N269" s="8">
        <f t="shared" ref="N269:N332" ca="1" si="54">L268*D269</f>
        <v>-4.3076013944481642E-2</v>
      </c>
      <c r="O269" s="8">
        <f t="shared" ref="O269:O332" ca="1" si="55">M269+N269</f>
        <v>-2.3283760561513989E-2</v>
      </c>
      <c r="Q269" s="7">
        <f t="shared" ref="Q269:Q332" si="56">A269</f>
        <v>12.900000000000048</v>
      </c>
      <c r="R269" s="8">
        <f t="shared" ref="R269:R332" ca="1" si="57">B269</f>
        <v>-1.7182653059321963E-2</v>
      </c>
      <c r="S269" s="8">
        <f t="shared" ref="S269:S332" ca="1" si="58">G269</f>
        <v>5.4707362270330515</v>
      </c>
      <c r="T269" s="8">
        <f t="shared" ref="T269:T332" ca="1" si="59">L269</f>
        <v>7.8936175926255459</v>
      </c>
    </row>
    <row r="270" spans="1:20" x14ac:dyDescent="0.25">
      <c r="A270" s="7">
        <f>A269+dt</f>
        <v>12.950000000000049</v>
      </c>
      <c r="B270" s="8">
        <f t="shared" ca="1" si="48"/>
        <v>-8.3329493844782124E-3</v>
      </c>
      <c r="C270" s="8">
        <f ca="1">lambda*(a-B269)*dt</f>
        <v>1.7182653059321963E-3</v>
      </c>
      <c r="D270" s="8">
        <f ca="1">sigma*SQRT(dt)*_xlfn.NORM.S.INV(RAND())</f>
        <v>7.1314383689115544E-3</v>
      </c>
      <c r="E270" s="8">
        <f t="shared" ca="1" si="49"/>
        <v>8.8497036748437508E-3</v>
      </c>
      <c r="G270" s="8">
        <f t="shared" ca="1" si="50"/>
        <v>5.4803676654019631</v>
      </c>
      <c r="H270" s="8">
        <f>mu*dt</f>
        <v>2.5000000000000005E-3</v>
      </c>
      <c r="I270" s="8">
        <f t="shared" ca="1" si="51"/>
        <v>7.1314383689115544E-3</v>
      </c>
      <c r="J270" s="8">
        <f t="shared" ca="1" si="52"/>
        <v>9.6314383689115549E-3</v>
      </c>
      <c r="L270" s="8">
        <f t="shared" ca="1" si="53"/>
        <v>7.9696444839766745</v>
      </c>
      <c r="M270" s="8">
        <f ca="1">mu*L269*dt</f>
        <v>1.9734043981563865E-2</v>
      </c>
      <c r="N270" s="8">
        <f t="shared" ca="1" si="54"/>
        <v>5.6292847369565073E-2</v>
      </c>
      <c r="O270" s="8">
        <f t="shared" ca="1" si="55"/>
        <v>7.6026891351128945E-2</v>
      </c>
      <c r="Q270" s="7">
        <f t="shared" si="56"/>
        <v>12.950000000000049</v>
      </c>
      <c r="R270" s="8">
        <f t="shared" ca="1" si="57"/>
        <v>-8.3329493844782124E-3</v>
      </c>
      <c r="S270" s="8">
        <f t="shared" ca="1" si="58"/>
        <v>5.4803676654019631</v>
      </c>
      <c r="T270" s="8">
        <f t="shared" ca="1" si="59"/>
        <v>7.9696444839766745</v>
      </c>
    </row>
    <row r="271" spans="1:20" x14ac:dyDescent="0.25">
      <c r="A271" s="7">
        <f>A270+dt</f>
        <v>13.00000000000005</v>
      </c>
      <c r="B271" s="8">
        <f t="shared" ca="1" si="48"/>
        <v>-3.5617517219257841E-3</v>
      </c>
      <c r="C271" s="8">
        <f ca="1">lambda*(a-B270)*dt</f>
        <v>8.3329493844782124E-4</v>
      </c>
      <c r="D271" s="8">
        <f ca="1">sigma*SQRT(dt)*_xlfn.NORM.S.INV(RAND())</f>
        <v>3.9379027241046071E-3</v>
      </c>
      <c r="E271" s="8">
        <f t="shared" ca="1" si="49"/>
        <v>4.7711976625524283E-3</v>
      </c>
      <c r="G271" s="8">
        <f t="shared" ca="1" si="50"/>
        <v>5.4868055681260675</v>
      </c>
      <c r="H271" s="8">
        <f>mu*dt</f>
        <v>2.5000000000000005E-3</v>
      </c>
      <c r="I271" s="8">
        <f t="shared" ca="1" si="51"/>
        <v>3.9379027241046071E-3</v>
      </c>
      <c r="J271" s="8">
        <f t="shared" ca="1" si="52"/>
        <v>6.4379027241046076E-3</v>
      </c>
      <c r="L271" s="8">
        <f t="shared" ca="1" si="53"/>
        <v>8.0209522799102135</v>
      </c>
      <c r="M271" s="8">
        <f ca="1">mu*L270*dt</f>
        <v>1.9924111209941687E-2</v>
      </c>
      <c r="N271" s="8">
        <f t="shared" ca="1" si="54"/>
        <v>3.1383684723597004E-2</v>
      </c>
      <c r="O271" s="8">
        <f t="shared" ca="1" si="55"/>
        <v>5.1307795933538694E-2</v>
      </c>
      <c r="Q271" s="7">
        <f t="shared" si="56"/>
        <v>13.00000000000005</v>
      </c>
      <c r="R271" s="8">
        <f t="shared" ca="1" si="57"/>
        <v>-3.5617517219257841E-3</v>
      </c>
      <c r="S271" s="8">
        <f t="shared" ca="1" si="58"/>
        <v>5.4868055681260675</v>
      </c>
      <c r="T271" s="8">
        <f t="shared" ca="1" si="59"/>
        <v>8.0209522799102135</v>
      </c>
    </row>
    <row r="272" spans="1:20" x14ac:dyDescent="0.25">
      <c r="A272" s="7">
        <f>A271+dt</f>
        <v>13.05000000000005</v>
      </c>
      <c r="B272" s="8">
        <f t="shared" ca="1" si="48"/>
        <v>-1.654389690917122E-2</v>
      </c>
      <c r="C272" s="8">
        <f ca="1">lambda*(a-B271)*dt</f>
        <v>3.5617517219257842E-4</v>
      </c>
      <c r="D272" s="8">
        <f ca="1">sigma*SQRT(dt)*_xlfn.NORM.S.INV(RAND())</f>
        <v>-1.3338320359438013E-2</v>
      </c>
      <c r="E272" s="8">
        <f t="shared" ca="1" si="49"/>
        <v>-1.2982145187245435E-2</v>
      </c>
      <c r="G272" s="8">
        <f t="shared" ca="1" si="50"/>
        <v>5.4759672477666292</v>
      </c>
      <c r="H272" s="8">
        <f>mu*dt</f>
        <v>2.5000000000000005E-3</v>
      </c>
      <c r="I272" s="8">
        <f t="shared" ca="1" si="51"/>
        <v>-1.3338320359438013E-2</v>
      </c>
      <c r="J272" s="8">
        <f t="shared" ca="1" si="52"/>
        <v>-1.0838320359438013E-2</v>
      </c>
      <c r="L272" s="8">
        <f t="shared" ca="1" si="53"/>
        <v>7.9340186295127815</v>
      </c>
      <c r="M272" s="8">
        <f ca="1">mu*L271*dt</f>
        <v>2.0052380699775538E-2</v>
      </c>
      <c r="N272" s="8">
        <f t="shared" ca="1" si="54"/>
        <v>-0.10698603109720715</v>
      </c>
      <c r="O272" s="8">
        <f t="shared" ca="1" si="55"/>
        <v>-8.6933650397431617E-2</v>
      </c>
      <c r="Q272" s="7">
        <f t="shared" si="56"/>
        <v>13.05000000000005</v>
      </c>
      <c r="R272" s="8">
        <f t="shared" ca="1" si="57"/>
        <v>-1.654389690917122E-2</v>
      </c>
      <c r="S272" s="8">
        <f t="shared" ca="1" si="58"/>
        <v>5.4759672477666292</v>
      </c>
      <c r="T272" s="8">
        <f t="shared" ca="1" si="59"/>
        <v>7.9340186295127815</v>
      </c>
    </row>
    <row r="273" spans="1:20" x14ac:dyDescent="0.25">
      <c r="A273" s="7">
        <f>A272+dt</f>
        <v>13.100000000000051</v>
      </c>
      <c r="B273" s="8">
        <f t="shared" ca="1" si="48"/>
        <v>-1.1358539805579812E-2</v>
      </c>
      <c r="C273" s="8">
        <f ca="1">lambda*(a-B272)*dt</f>
        <v>1.6543896909171222E-3</v>
      </c>
      <c r="D273" s="8">
        <f ca="1">sigma*SQRT(dt)*_xlfn.NORM.S.INV(RAND())</f>
        <v>3.5309674126742852E-3</v>
      </c>
      <c r="E273" s="8">
        <f t="shared" ca="1" si="49"/>
        <v>5.1853571035914078E-3</v>
      </c>
      <c r="G273" s="8">
        <f t="shared" ca="1" si="50"/>
        <v>5.4819982151793036</v>
      </c>
      <c r="H273" s="8">
        <f>mu*dt</f>
        <v>2.5000000000000005E-3</v>
      </c>
      <c r="I273" s="8">
        <f t="shared" ca="1" si="51"/>
        <v>3.5309674126742852E-3</v>
      </c>
      <c r="J273" s="8">
        <f t="shared" ca="1" si="52"/>
        <v>6.0309674126742853E-3</v>
      </c>
      <c r="L273" s="8">
        <f t="shared" ca="1" si="53"/>
        <v>7.9818684373189237</v>
      </c>
      <c r="M273" s="8">
        <f ca="1">mu*L272*dt</f>
        <v>1.9835046573781958E-2</v>
      </c>
      <c r="N273" s="8">
        <f t="shared" ca="1" si="54"/>
        <v>2.8014761232360325E-2</v>
      </c>
      <c r="O273" s="8">
        <f t="shared" ca="1" si="55"/>
        <v>4.7849807806142286E-2</v>
      </c>
      <c r="Q273" s="7">
        <f t="shared" si="56"/>
        <v>13.100000000000051</v>
      </c>
      <c r="R273" s="8">
        <f t="shared" ca="1" si="57"/>
        <v>-1.1358539805579812E-2</v>
      </c>
      <c r="S273" s="8">
        <f t="shared" ca="1" si="58"/>
        <v>5.4819982151793036</v>
      </c>
      <c r="T273" s="8">
        <f t="shared" ca="1" si="59"/>
        <v>7.9818684373189237</v>
      </c>
    </row>
    <row r="274" spans="1:20" x14ac:dyDescent="0.25">
      <c r="A274" s="7">
        <f>A273+dt</f>
        <v>13.150000000000052</v>
      </c>
      <c r="B274" s="8">
        <f t="shared" ca="1" si="48"/>
        <v>3.707638138048917E-3</v>
      </c>
      <c r="C274" s="8">
        <f ca="1">lambda*(a-B273)*dt</f>
        <v>1.1358539805579812E-3</v>
      </c>
      <c r="D274" s="8">
        <f ca="1">sigma*SQRT(dt)*_xlfn.NORM.S.INV(RAND())</f>
        <v>1.3930323963070748E-2</v>
      </c>
      <c r="E274" s="8">
        <f t="shared" ca="1" si="49"/>
        <v>1.5066177943628729E-2</v>
      </c>
      <c r="G274" s="8">
        <f t="shared" ca="1" si="50"/>
        <v>5.4984285391423739</v>
      </c>
      <c r="H274" s="8">
        <f>mu*dt</f>
        <v>2.5000000000000005E-3</v>
      </c>
      <c r="I274" s="8">
        <f t="shared" ca="1" si="51"/>
        <v>1.3930323963070748E-2</v>
      </c>
      <c r="J274" s="8">
        <f t="shared" ca="1" si="52"/>
        <v>1.6430323963070748E-2</v>
      </c>
      <c r="L274" s="8">
        <f t="shared" ca="1" si="53"/>
        <v>8.1130131215746832</v>
      </c>
      <c r="M274" s="8">
        <f ca="1">mu*L273*dt</f>
        <v>1.9954671093297311E-2</v>
      </c>
      <c r="N274" s="8">
        <f t="shared" ca="1" si="54"/>
        <v>0.11119001316246187</v>
      </c>
      <c r="O274" s="8">
        <f t="shared" ca="1" si="55"/>
        <v>0.13114468425575918</v>
      </c>
      <c r="Q274" s="7">
        <f t="shared" si="56"/>
        <v>13.150000000000052</v>
      </c>
      <c r="R274" s="8">
        <f t="shared" ca="1" si="57"/>
        <v>3.707638138048917E-3</v>
      </c>
      <c r="S274" s="8">
        <f t="shared" ca="1" si="58"/>
        <v>5.4984285391423739</v>
      </c>
      <c r="T274" s="8">
        <f t="shared" ca="1" si="59"/>
        <v>8.1130131215746832</v>
      </c>
    </row>
    <row r="275" spans="1:20" x14ac:dyDescent="0.25">
      <c r="A275" s="7">
        <f>A274+dt</f>
        <v>13.200000000000053</v>
      </c>
      <c r="B275" s="8">
        <f t="shared" ca="1" si="48"/>
        <v>2.5205648221767261E-2</v>
      </c>
      <c r="C275" s="8">
        <f ca="1">lambda*(a-B274)*dt</f>
        <v>-3.7076381380489172E-4</v>
      </c>
      <c r="D275" s="8">
        <f ca="1">sigma*SQRT(dt)*_xlfn.NORM.S.INV(RAND())</f>
        <v>2.1868773897523234E-2</v>
      </c>
      <c r="E275" s="8">
        <f t="shared" ca="1" si="49"/>
        <v>2.1498010083718343E-2</v>
      </c>
      <c r="G275" s="8">
        <f t="shared" ca="1" si="50"/>
        <v>5.5227973130398968</v>
      </c>
      <c r="H275" s="8">
        <f>mu*dt</f>
        <v>2.5000000000000005E-3</v>
      </c>
      <c r="I275" s="8">
        <f t="shared" ca="1" si="51"/>
        <v>2.1868773897523234E-2</v>
      </c>
      <c r="J275" s="8">
        <f t="shared" ca="1" si="52"/>
        <v>2.4368773897523233E-2</v>
      </c>
      <c r="L275" s="8">
        <f t="shared" ca="1" si="53"/>
        <v>8.3107173039619759</v>
      </c>
      <c r="M275" s="8">
        <f ca="1">mu*L274*dt</f>
        <v>2.0282532803936711E-2</v>
      </c>
      <c r="N275" s="8">
        <f t="shared" ca="1" si="54"/>
        <v>0.17742164958335593</v>
      </c>
      <c r="O275" s="8">
        <f t="shared" ca="1" si="55"/>
        <v>0.19770418238729265</v>
      </c>
      <c r="Q275" s="7">
        <f t="shared" si="56"/>
        <v>13.200000000000053</v>
      </c>
      <c r="R275" s="8">
        <f t="shared" ca="1" si="57"/>
        <v>2.5205648221767261E-2</v>
      </c>
      <c r="S275" s="8">
        <f t="shared" ca="1" si="58"/>
        <v>5.5227973130398968</v>
      </c>
      <c r="T275" s="8">
        <f t="shared" ca="1" si="59"/>
        <v>8.3107173039619759</v>
      </c>
    </row>
    <row r="276" spans="1:20" x14ac:dyDescent="0.25">
      <c r="A276" s="7">
        <f>A275+dt</f>
        <v>13.250000000000053</v>
      </c>
      <c r="B276" s="8">
        <f t="shared" ca="1" si="48"/>
        <v>2.6118305188583449E-2</v>
      </c>
      <c r="C276" s="8">
        <f ca="1">lambda*(a-B275)*dt</f>
        <v>-2.5205648221767263E-3</v>
      </c>
      <c r="D276" s="8">
        <f ca="1">sigma*SQRT(dt)*_xlfn.NORM.S.INV(RAND())</f>
        <v>3.433221788992912E-3</v>
      </c>
      <c r="E276" s="8">
        <f t="shared" ca="1" si="49"/>
        <v>9.1265696681618567E-4</v>
      </c>
      <c r="G276" s="8">
        <f t="shared" ca="1" si="50"/>
        <v>5.52873053482889</v>
      </c>
      <c r="H276" s="8">
        <f>mu*dt</f>
        <v>2.5000000000000005E-3</v>
      </c>
      <c r="I276" s="8">
        <f t="shared" ca="1" si="51"/>
        <v>3.433221788992912E-3</v>
      </c>
      <c r="J276" s="8">
        <f t="shared" ca="1" si="52"/>
        <v>5.9332217889929125E-3</v>
      </c>
      <c r="L276" s="8">
        <f t="shared" ca="1" si="53"/>
        <v>8.3600266329520032</v>
      </c>
      <c r="M276" s="8">
        <f ca="1">mu*L275*dt</f>
        <v>2.0776793259904943E-2</v>
      </c>
      <c r="N276" s="8">
        <f t="shared" ca="1" si="54"/>
        <v>2.8532535730122686E-2</v>
      </c>
      <c r="O276" s="8">
        <f t="shared" ca="1" si="55"/>
        <v>4.9309328990027629E-2</v>
      </c>
      <c r="Q276" s="7">
        <f t="shared" si="56"/>
        <v>13.250000000000053</v>
      </c>
      <c r="R276" s="8">
        <f t="shared" ca="1" si="57"/>
        <v>2.6118305188583449E-2</v>
      </c>
      <c r="S276" s="8">
        <f t="shared" ca="1" si="58"/>
        <v>5.52873053482889</v>
      </c>
      <c r="T276" s="8">
        <f t="shared" ca="1" si="59"/>
        <v>8.3600266329520032</v>
      </c>
    </row>
    <row r="277" spans="1:20" x14ac:dyDescent="0.25">
      <c r="A277" s="7">
        <f>A276+dt</f>
        <v>13.300000000000054</v>
      </c>
      <c r="B277" s="8">
        <f t="shared" ca="1" si="48"/>
        <v>2.1911130291825863E-2</v>
      </c>
      <c r="C277" s="8">
        <f ca="1">lambda*(a-B276)*dt</f>
        <v>-2.6118305188583451E-3</v>
      </c>
      <c r="D277" s="8">
        <f ca="1">sigma*SQRT(dt)*_xlfn.NORM.S.INV(RAND())</f>
        <v>-1.5953443778992404E-3</v>
      </c>
      <c r="E277" s="8">
        <f t="shared" ca="1" si="49"/>
        <v>-4.2071748967575859E-3</v>
      </c>
      <c r="G277" s="8">
        <f t="shared" ca="1" si="50"/>
        <v>5.5296351904509908</v>
      </c>
      <c r="H277" s="8">
        <f>mu*dt</f>
        <v>2.5000000000000005E-3</v>
      </c>
      <c r="I277" s="8">
        <f t="shared" ca="1" si="51"/>
        <v>-1.5953443778992404E-3</v>
      </c>
      <c r="J277" s="8">
        <f t="shared" ca="1" si="52"/>
        <v>9.046556221007601E-4</v>
      </c>
      <c r="L277" s="8">
        <f t="shared" ca="1" si="53"/>
        <v>8.3675895780464149</v>
      </c>
      <c r="M277" s="8">
        <f ca="1">mu*L276*dt</f>
        <v>2.0900066582380011E-2</v>
      </c>
      <c r="N277" s="8">
        <f t="shared" ca="1" si="54"/>
        <v>-1.3337121487967896E-2</v>
      </c>
      <c r="O277" s="8">
        <f t="shared" ca="1" si="55"/>
        <v>7.562945094412115E-3</v>
      </c>
      <c r="Q277" s="7">
        <f t="shared" si="56"/>
        <v>13.300000000000054</v>
      </c>
      <c r="R277" s="8">
        <f t="shared" ca="1" si="57"/>
        <v>2.1911130291825863E-2</v>
      </c>
      <c r="S277" s="8">
        <f t="shared" ca="1" si="58"/>
        <v>5.5296351904509908</v>
      </c>
      <c r="T277" s="8">
        <f t="shared" ca="1" si="59"/>
        <v>8.3675895780464149</v>
      </c>
    </row>
    <row r="278" spans="1:20" x14ac:dyDescent="0.25">
      <c r="A278" s="7">
        <f>A277+dt</f>
        <v>13.350000000000055</v>
      </c>
      <c r="B278" s="8">
        <f t="shared" ca="1" si="48"/>
        <v>-5.7981082394546711E-3</v>
      </c>
      <c r="C278" s="8">
        <f ca="1">lambda*(a-B277)*dt</f>
        <v>-2.1911130291825862E-3</v>
      </c>
      <c r="D278" s="8">
        <f ca="1">sigma*SQRT(dt)*_xlfn.NORM.S.INV(RAND())</f>
        <v>-2.5518125502097949E-2</v>
      </c>
      <c r="E278" s="8">
        <f t="shared" ca="1" si="49"/>
        <v>-2.7709238531280534E-2</v>
      </c>
      <c r="G278" s="8">
        <f t="shared" ca="1" si="50"/>
        <v>5.5066170649488928</v>
      </c>
      <c r="H278" s="8">
        <f>mu*dt</f>
        <v>2.5000000000000005E-3</v>
      </c>
      <c r="I278" s="8">
        <f t="shared" ca="1" si="51"/>
        <v>-2.5518125502097949E-2</v>
      </c>
      <c r="J278" s="8">
        <f t="shared" ca="1" si="52"/>
        <v>-2.3018125502097947E-2</v>
      </c>
      <c r="L278" s="8">
        <f t="shared" ca="1" si="53"/>
        <v>8.1749833509888958</v>
      </c>
      <c r="M278" s="8">
        <f ca="1">mu*L277*dt</f>
        <v>2.0918973945116038E-2</v>
      </c>
      <c r="N278" s="8">
        <f t="shared" ca="1" si="54"/>
        <v>-0.21352520100263525</v>
      </c>
      <c r="O278" s="8">
        <f t="shared" ca="1" si="55"/>
        <v>-0.1926062270575192</v>
      </c>
      <c r="Q278" s="7">
        <f t="shared" si="56"/>
        <v>13.350000000000055</v>
      </c>
      <c r="R278" s="8">
        <f t="shared" ca="1" si="57"/>
        <v>-5.7981082394546711E-3</v>
      </c>
      <c r="S278" s="8">
        <f t="shared" ca="1" si="58"/>
        <v>5.5066170649488928</v>
      </c>
      <c r="T278" s="8">
        <f t="shared" ca="1" si="59"/>
        <v>8.1749833509888958</v>
      </c>
    </row>
    <row r="279" spans="1:20" x14ac:dyDescent="0.25">
      <c r="A279" s="7">
        <f>A278+dt</f>
        <v>13.400000000000055</v>
      </c>
      <c r="B279" s="8">
        <f t="shared" ca="1" si="48"/>
        <v>4.3436237107629932E-3</v>
      </c>
      <c r="C279" s="8">
        <f ca="1">lambda*(a-B278)*dt</f>
        <v>5.7981082394546713E-4</v>
      </c>
      <c r="D279" s="8">
        <f ca="1">sigma*SQRT(dt)*_xlfn.NORM.S.INV(RAND())</f>
        <v>9.5619211262721968E-3</v>
      </c>
      <c r="E279" s="8">
        <f t="shared" ca="1" si="49"/>
        <v>1.0141731950217664E-2</v>
      </c>
      <c r="G279" s="8">
        <f t="shared" ca="1" si="50"/>
        <v>5.518678986075165</v>
      </c>
      <c r="H279" s="8">
        <f>mu*dt</f>
        <v>2.5000000000000005E-3</v>
      </c>
      <c r="I279" s="8">
        <f t="shared" ca="1" si="51"/>
        <v>9.5619211262721968E-3</v>
      </c>
      <c r="J279" s="8">
        <f t="shared" ca="1" si="52"/>
        <v>1.2061921126272197E-2</v>
      </c>
      <c r="L279" s="8">
        <f t="shared" ca="1" si="53"/>
        <v>8.273589355377112</v>
      </c>
      <c r="M279" s="8">
        <f ca="1">mu*L278*dt</f>
        <v>2.043745837747224E-2</v>
      </c>
      <c r="N279" s="8">
        <f t="shared" ca="1" si="54"/>
        <v>7.8168546010744203E-2</v>
      </c>
      <c r="O279" s="8">
        <f t="shared" ca="1" si="55"/>
        <v>9.8606004388216442E-2</v>
      </c>
      <c r="Q279" s="7">
        <f t="shared" si="56"/>
        <v>13.400000000000055</v>
      </c>
      <c r="R279" s="8">
        <f t="shared" ca="1" si="57"/>
        <v>4.3436237107629932E-3</v>
      </c>
      <c r="S279" s="8">
        <f t="shared" ca="1" si="58"/>
        <v>5.518678986075165</v>
      </c>
      <c r="T279" s="8">
        <f t="shared" ca="1" si="59"/>
        <v>8.273589355377112</v>
      </c>
    </row>
    <row r="280" spans="1:20" x14ac:dyDescent="0.25">
      <c r="A280" s="7">
        <f>A279+dt</f>
        <v>13.450000000000056</v>
      </c>
      <c r="B280" s="8">
        <f t="shared" ca="1" si="48"/>
        <v>1.9999878222387642E-2</v>
      </c>
      <c r="C280" s="8">
        <f ca="1">lambda*(a-B279)*dt</f>
        <v>-4.3436237107629934E-4</v>
      </c>
      <c r="D280" s="8">
        <f ca="1">sigma*SQRT(dt)*_xlfn.NORM.S.INV(RAND())</f>
        <v>1.6090616882700946E-2</v>
      </c>
      <c r="E280" s="8">
        <f t="shared" ca="1" si="49"/>
        <v>1.5656254511624647E-2</v>
      </c>
      <c r="G280" s="8">
        <f t="shared" ca="1" si="50"/>
        <v>5.5372696029578661</v>
      </c>
      <c r="H280" s="8">
        <f>mu*dt</f>
        <v>2.5000000000000005E-3</v>
      </c>
      <c r="I280" s="8">
        <f t="shared" ca="1" si="51"/>
        <v>1.6090616882700946E-2</v>
      </c>
      <c r="J280" s="8">
        <f t="shared" ca="1" si="52"/>
        <v>1.8590616882700944E-2</v>
      </c>
      <c r="L280" s="8">
        <f t="shared" ca="1" si="53"/>
        <v>8.4274004853277198</v>
      </c>
      <c r="M280" s="8">
        <f ca="1">mu*L279*dt</f>
        <v>2.0683973388442783E-2</v>
      </c>
      <c r="N280" s="8">
        <f t="shared" ca="1" si="54"/>
        <v>0.13312715656216578</v>
      </c>
      <c r="O280" s="8">
        <f t="shared" ca="1" si="55"/>
        <v>0.15381112995060855</v>
      </c>
      <c r="Q280" s="7">
        <f t="shared" si="56"/>
        <v>13.450000000000056</v>
      </c>
      <c r="R280" s="8">
        <f t="shared" ca="1" si="57"/>
        <v>1.9999878222387642E-2</v>
      </c>
      <c r="S280" s="8">
        <f t="shared" ca="1" si="58"/>
        <v>5.5372696029578661</v>
      </c>
      <c r="T280" s="8">
        <f t="shared" ca="1" si="59"/>
        <v>8.4274004853277198</v>
      </c>
    </row>
    <row r="281" spans="1:20" x14ac:dyDescent="0.25">
      <c r="A281" s="7">
        <f>A280+dt</f>
        <v>13.500000000000057</v>
      </c>
      <c r="B281" s="8">
        <f t="shared" ca="1" si="48"/>
        <v>1.8669737258820155E-2</v>
      </c>
      <c r="C281" s="8">
        <f ca="1">lambda*(a-B280)*dt</f>
        <v>-1.9999878222387644E-3</v>
      </c>
      <c r="D281" s="8">
        <f ca="1">sigma*SQRT(dt)*_xlfn.NORM.S.INV(RAND())</f>
        <v>6.6984685867127686E-4</v>
      </c>
      <c r="E281" s="8">
        <f t="shared" ca="1" si="49"/>
        <v>-1.3301409635674876E-3</v>
      </c>
      <c r="G281" s="8">
        <f t="shared" ca="1" si="50"/>
        <v>5.540439449816537</v>
      </c>
      <c r="H281" s="8">
        <f>mu*dt</f>
        <v>2.5000000000000005E-3</v>
      </c>
      <c r="I281" s="8">
        <f t="shared" ca="1" si="51"/>
        <v>6.6984685867127686E-4</v>
      </c>
      <c r="J281" s="8">
        <f t="shared" ca="1" si="52"/>
        <v>3.1698468586712773E-3</v>
      </c>
      <c r="L281" s="8">
        <f t="shared" ca="1" si="53"/>
        <v>8.4541140542829005</v>
      </c>
      <c r="M281" s="8">
        <f ca="1">mu*L280*dt</f>
        <v>2.1068501213319303E-2</v>
      </c>
      <c r="N281" s="8">
        <f t="shared" ca="1" si="54"/>
        <v>5.6450677418615671E-3</v>
      </c>
      <c r="O281" s="8">
        <f t="shared" ca="1" si="55"/>
        <v>2.6713568955180872E-2</v>
      </c>
      <c r="Q281" s="7">
        <f t="shared" si="56"/>
        <v>13.500000000000057</v>
      </c>
      <c r="R281" s="8">
        <f t="shared" ca="1" si="57"/>
        <v>1.8669737258820155E-2</v>
      </c>
      <c r="S281" s="8">
        <f t="shared" ca="1" si="58"/>
        <v>5.540439449816537</v>
      </c>
      <c r="T281" s="8">
        <f t="shared" ca="1" si="59"/>
        <v>8.4541140542829005</v>
      </c>
    </row>
    <row r="282" spans="1:20" x14ac:dyDescent="0.25">
      <c r="A282" s="7">
        <f>A281+dt</f>
        <v>13.550000000000058</v>
      </c>
      <c r="B282" s="8">
        <f t="shared" ca="1" si="48"/>
        <v>2.5148359399488271E-2</v>
      </c>
      <c r="C282" s="8">
        <f ca="1">lambda*(a-B281)*dt</f>
        <v>-1.8669737258820156E-3</v>
      </c>
      <c r="D282" s="8">
        <f ca="1">sigma*SQRT(dt)*_xlfn.NORM.S.INV(RAND())</f>
        <v>8.3455958665501293E-3</v>
      </c>
      <c r="E282" s="8">
        <f t="shared" ca="1" si="49"/>
        <v>6.4786221406681142E-3</v>
      </c>
      <c r="G282" s="8">
        <f t="shared" ca="1" si="50"/>
        <v>5.5512850456830876</v>
      </c>
      <c r="H282" s="8">
        <f>mu*dt</f>
        <v>2.5000000000000005E-3</v>
      </c>
      <c r="I282" s="8">
        <f t="shared" ca="1" si="51"/>
        <v>8.3455958665501293E-3</v>
      </c>
      <c r="J282" s="8">
        <f t="shared" ca="1" si="52"/>
        <v>1.084559586655013E-2</v>
      </c>
      <c r="L282" s="8">
        <f t="shared" ca="1" si="53"/>
        <v>8.545803958725374</v>
      </c>
      <c r="M282" s="8">
        <f ca="1">mu*L281*dt</f>
        <v>2.1135285135707255E-2</v>
      </c>
      <c r="N282" s="8">
        <f t="shared" ca="1" si="54"/>
        <v>7.0554619306766736E-2</v>
      </c>
      <c r="O282" s="8">
        <f t="shared" ca="1" si="55"/>
        <v>9.1689904442473991E-2</v>
      </c>
      <c r="Q282" s="7">
        <f t="shared" si="56"/>
        <v>13.550000000000058</v>
      </c>
      <c r="R282" s="8">
        <f t="shared" ca="1" si="57"/>
        <v>2.5148359399488271E-2</v>
      </c>
      <c r="S282" s="8">
        <f t="shared" ca="1" si="58"/>
        <v>5.5512850456830876</v>
      </c>
      <c r="T282" s="8">
        <f t="shared" ca="1" si="59"/>
        <v>8.545803958725374</v>
      </c>
    </row>
    <row r="283" spans="1:20" x14ac:dyDescent="0.25">
      <c r="A283" s="7">
        <f>A282+dt</f>
        <v>13.600000000000058</v>
      </c>
      <c r="B283" s="8">
        <f t="shared" ca="1" si="48"/>
        <v>1.9484569726735734E-2</v>
      </c>
      <c r="C283" s="8">
        <f ca="1">lambda*(a-B282)*dt</f>
        <v>-2.5148359399488271E-3</v>
      </c>
      <c r="D283" s="8">
        <f ca="1">sigma*SQRT(dt)*_xlfn.NORM.S.INV(RAND())</f>
        <v>-3.1489537328037078E-3</v>
      </c>
      <c r="E283" s="8">
        <f t="shared" ca="1" si="49"/>
        <v>-5.6637896727525349E-3</v>
      </c>
      <c r="G283" s="8">
        <f t="shared" ca="1" si="50"/>
        <v>5.5506360919502837</v>
      </c>
      <c r="H283" s="8">
        <f>mu*dt</f>
        <v>2.5000000000000005E-3</v>
      </c>
      <c r="I283" s="8">
        <f t="shared" ca="1" si="51"/>
        <v>-3.1489537328037078E-3</v>
      </c>
      <c r="J283" s="8">
        <f t="shared" ca="1" si="52"/>
        <v>-6.4895373280370733E-4</v>
      </c>
      <c r="L283" s="8">
        <f t="shared" ca="1" si="53"/>
        <v>8.5402581273465508</v>
      </c>
      <c r="M283" s="8">
        <f ca="1">mu*L282*dt</f>
        <v>2.1364509896813436E-2</v>
      </c>
      <c r="N283" s="8">
        <f t="shared" ca="1" si="54"/>
        <v>-2.6910341275636969E-2</v>
      </c>
      <c r="O283" s="8">
        <f t="shared" ca="1" si="55"/>
        <v>-5.5458313788235326E-3</v>
      </c>
      <c r="Q283" s="7">
        <f t="shared" si="56"/>
        <v>13.600000000000058</v>
      </c>
      <c r="R283" s="8">
        <f t="shared" ca="1" si="57"/>
        <v>1.9484569726735734E-2</v>
      </c>
      <c r="S283" s="8">
        <f t="shared" ca="1" si="58"/>
        <v>5.5506360919502837</v>
      </c>
      <c r="T283" s="8">
        <f t="shared" ca="1" si="59"/>
        <v>8.5402581273465508</v>
      </c>
    </row>
    <row r="284" spans="1:20" x14ac:dyDescent="0.25">
      <c r="A284" s="7">
        <f>A283+dt</f>
        <v>13.650000000000059</v>
      </c>
      <c r="B284" s="8">
        <f t="shared" ca="1" si="48"/>
        <v>3.4762883082986744E-2</v>
      </c>
      <c r="C284" s="8">
        <f ca="1">lambda*(a-B283)*dt</f>
        <v>-1.9484569726735735E-3</v>
      </c>
      <c r="D284" s="8">
        <f ca="1">sigma*SQRT(dt)*_xlfn.NORM.S.INV(RAND())</f>
        <v>1.7226770328924581E-2</v>
      </c>
      <c r="E284" s="8">
        <f t="shared" ca="1" si="49"/>
        <v>1.5278313356251008E-2</v>
      </c>
      <c r="G284" s="8">
        <f t="shared" ca="1" si="50"/>
        <v>5.5703628622792083</v>
      </c>
      <c r="H284" s="8">
        <f>mu*dt</f>
        <v>2.5000000000000005E-3</v>
      </c>
      <c r="I284" s="8">
        <f t="shared" ca="1" si="51"/>
        <v>1.7226770328924581E-2</v>
      </c>
      <c r="J284" s="8">
        <f t="shared" ca="1" si="52"/>
        <v>1.972677032892458E-2</v>
      </c>
      <c r="L284" s="8">
        <f t="shared" ca="1" si="53"/>
        <v>8.7087298379744471</v>
      </c>
      <c r="M284" s="8">
        <f ca="1">mu*L283*dt</f>
        <v>2.135064531836638E-2</v>
      </c>
      <c r="N284" s="8">
        <f t="shared" ca="1" si="54"/>
        <v>0.14712106530953056</v>
      </c>
      <c r="O284" s="8">
        <f t="shared" ca="1" si="55"/>
        <v>0.16847171062789695</v>
      </c>
      <c r="Q284" s="7">
        <f t="shared" si="56"/>
        <v>13.650000000000059</v>
      </c>
      <c r="R284" s="8">
        <f t="shared" ca="1" si="57"/>
        <v>3.4762883082986744E-2</v>
      </c>
      <c r="S284" s="8">
        <f t="shared" ca="1" si="58"/>
        <v>5.5703628622792083</v>
      </c>
      <c r="T284" s="8">
        <f t="shared" ca="1" si="59"/>
        <v>8.7087298379744471</v>
      </c>
    </row>
    <row r="285" spans="1:20" x14ac:dyDescent="0.25">
      <c r="A285" s="7">
        <f>A284+dt</f>
        <v>13.70000000000006</v>
      </c>
      <c r="B285" s="8">
        <f t="shared" ca="1" si="48"/>
        <v>4.324697792742821E-2</v>
      </c>
      <c r="C285" s="8">
        <f ca="1">lambda*(a-B284)*dt</f>
        <v>-3.4762883082986745E-3</v>
      </c>
      <c r="D285" s="8">
        <f ca="1">sigma*SQRT(dt)*_xlfn.NORM.S.INV(RAND())</f>
        <v>1.1960383152740136E-2</v>
      </c>
      <c r="E285" s="8">
        <f t="shared" ca="1" si="49"/>
        <v>8.4840948444414623E-3</v>
      </c>
      <c r="G285" s="8">
        <f t="shared" ca="1" si="50"/>
        <v>5.5848232454319486</v>
      </c>
      <c r="H285" s="8">
        <f>mu*dt</f>
        <v>2.5000000000000005E-3</v>
      </c>
      <c r="I285" s="8">
        <f t="shared" ca="1" si="51"/>
        <v>1.1960383152740136E-2</v>
      </c>
      <c r="J285" s="8">
        <f t="shared" ca="1" si="52"/>
        <v>1.4460383152740137E-2</v>
      </c>
      <c r="L285" s="8">
        <f t="shared" ca="1" si="53"/>
        <v>8.8346614082052586</v>
      </c>
      <c r="M285" s="8">
        <f ca="1">mu*L284*dt</f>
        <v>2.177182459493612E-2</v>
      </c>
      <c r="N285" s="8">
        <f t="shared" ca="1" si="54"/>
        <v>0.10415974563587492</v>
      </c>
      <c r="O285" s="8">
        <f t="shared" ca="1" si="55"/>
        <v>0.12593157023081103</v>
      </c>
      <c r="Q285" s="7">
        <f t="shared" si="56"/>
        <v>13.70000000000006</v>
      </c>
      <c r="R285" s="8">
        <f t="shared" ca="1" si="57"/>
        <v>4.324697792742821E-2</v>
      </c>
      <c r="S285" s="8">
        <f t="shared" ca="1" si="58"/>
        <v>5.5848232454319486</v>
      </c>
      <c r="T285" s="8">
        <f t="shared" ca="1" si="59"/>
        <v>8.8346614082052586</v>
      </c>
    </row>
    <row r="286" spans="1:20" x14ac:dyDescent="0.25">
      <c r="A286" s="7">
        <f>A285+dt</f>
        <v>13.75000000000006</v>
      </c>
      <c r="B286" s="8">
        <f t="shared" ca="1" si="48"/>
        <v>4.1956999545358128E-2</v>
      </c>
      <c r="C286" s="8">
        <f ca="1">lambda*(a-B285)*dt</f>
        <v>-4.3246977927428208E-3</v>
      </c>
      <c r="D286" s="8">
        <f ca="1">sigma*SQRT(dt)*_xlfn.NORM.S.INV(RAND())</f>
        <v>3.0347194106727427E-3</v>
      </c>
      <c r="E286" s="8">
        <f t="shared" ca="1" si="49"/>
        <v>-1.2899783820700781E-3</v>
      </c>
      <c r="G286" s="8">
        <f t="shared" ca="1" si="50"/>
        <v>5.5903579648426218</v>
      </c>
      <c r="H286" s="8">
        <f>mu*dt</f>
        <v>2.5000000000000005E-3</v>
      </c>
      <c r="I286" s="8">
        <f t="shared" ca="1" si="51"/>
        <v>3.0347194106727427E-3</v>
      </c>
      <c r="J286" s="8">
        <f t="shared" ca="1" si="52"/>
        <v>5.5347194106727428E-3</v>
      </c>
      <c r="L286" s="8">
        <f t="shared" ca="1" si="53"/>
        <v>8.8835587801879736</v>
      </c>
      <c r="M286" s="8">
        <f ca="1">mu*L285*dt</f>
        <v>2.2086653520513148E-2</v>
      </c>
      <c r="N286" s="8">
        <f t="shared" ca="1" si="54"/>
        <v>2.6810718462201885E-2</v>
      </c>
      <c r="O286" s="8">
        <f t="shared" ca="1" si="55"/>
        <v>4.8897371982715029E-2</v>
      </c>
      <c r="Q286" s="7">
        <f t="shared" si="56"/>
        <v>13.75000000000006</v>
      </c>
      <c r="R286" s="8">
        <f t="shared" ca="1" si="57"/>
        <v>4.1956999545358128E-2</v>
      </c>
      <c r="S286" s="8">
        <f t="shared" ca="1" si="58"/>
        <v>5.5903579648426218</v>
      </c>
      <c r="T286" s="8">
        <f t="shared" ca="1" si="59"/>
        <v>8.8835587801879736</v>
      </c>
    </row>
    <row r="287" spans="1:20" x14ac:dyDescent="0.25">
      <c r="A287" s="7">
        <f>A286+dt</f>
        <v>13.800000000000061</v>
      </c>
      <c r="B287" s="8">
        <f t="shared" ca="1" si="48"/>
        <v>5.5955976073910806E-2</v>
      </c>
      <c r="C287" s="8">
        <f ca="1">lambda*(a-B286)*dt</f>
        <v>-4.195699954535813E-3</v>
      </c>
      <c r="D287" s="8">
        <f ca="1">sigma*SQRT(dt)*_xlfn.NORM.S.INV(RAND())</f>
        <v>1.8194676483088489E-2</v>
      </c>
      <c r="E287" s="8">
        <f t="shared" ca="1" si="49"/>
        <v>1.3998976528552677E-2</v>
      </c>
      <c r="G287" s="8">
        <f t="shared" ca="1" si="50"/>
        <v>5.6110526413257107</v>
      </c>
      <c r="H287" s="8">
        <f>mu*dt</f>
        <v>2.5000000000000005E-3</v>
      </c>
      <c r="I287" s="8">
        <f t="shared" ca="1" si="51"/>
        <v>1.8194676483088489E-2</v>
      </c>
      <c r="J287" s="8">
        <f t="shared" ca="1" si="52"/>
        <v>2.0694676483088488E-2</v>
      </c>
      <c r="L287" s="8">
        <f t="shared" ca="1" si="53"/>
        <v>9.0674011551624645</v>
      </c>
      <c r="M287" s="8">
        <f ca="1">mu*L286*dt</f>
        <v>2.2208896950469938E-2</v>
      </c>
      <c r="N287" s="8">
        <f t="shared" ca="1" si="54"/>
        <v>0.16163347802402039</v>
      </c>
      <c r="O287" s="8">
        <f t="shared" ca="1" si="55"/>
        <v>0.18384237497449032</v>
      </c>
      <c r="Q287" s="7">
        <f t="shared" si="56"/>
        <v>13.800000000000061</v>
      </c>
      <c r="R287" s="8">
        <f t="shared" ca="1" si="57"/>
        <v>5.5955976073910806E-2</v>
      </c>
      <c r="S287" s="8">
        <f t="shared" ca="1" si="58"/>
        <v>5.6110526413257107</v>
      </c>
      <c r="T287" s="8">
        <f t="shared" ca="1" si="59"/>
        <v>9.0674011551624645</v>
      </c>
    </row>
    <row r="288" spans="1:20" x14ac:dyDescent="0.25">
      <c r="A288" s="7">
        <f>A287+dt</f>
        <v>13.850000000000062</v>
      </c>
      <c r="B288" s="8">
        <f t="shared" ca="1" si="48"/>
        <v>7.5245717367013187E-2</v>
      </c>
      <c r="C288" s="8">
        <f ca="1">lambda*(a-B287)*dt</f>
        <v>-5.5955976073910809E-3</v>
      </c>
      <c r="D288" s="8">
        <f ca="1">sigma*SQRT(dt)*_xlfn.NORM.S.INV(RAND())</f>
        <v>2.4885338900493454E-2</v>
      </c>
      <c r="E288" s="8">
        <f t="shared" ca="1" si="49"/>
        <v>1.9289741293102375E-2</v>
      </c>
      <c r="G288" s="8">
        <f t="shared" ca="1" si="50"/>
        <v>5.6384379802262039</v>
      </c>
      <c r="H288" s="8">
        <f>mu*dt</f>
        <v>2.5000000000000005E-3</v>
      </c>
      <c r="I288" s="8">
        <f t="shared" ca="1" si="51"/>
        <v>2.4885338900493454E-2</v>
      </c>
      <c r="J288" s="8">
        <f t="shared" ca="1" si="52"/>
        <v>2.7385338900493453E-2</v>
      </c>
      <c r="L288" s="8">
        <f t="shared" ca="1" si="53"/>
        <v>9.3157150087433145</v>
      </c>
      <c r="M288" s="8">
        <f ca="1">mu*L287*dt</f>
        <v>2.2668502887906162E-2</v>
      </c>
      <c r="N288" s="8">
        <f t="shared" ca="1" si="54"/>
        <v>0.22564535069294375</v>
      </c>
      <c r="O288" s="8">
        <f t="shared" ca="1" si="55"/>
        <v>0.24831385358084992</v>
      </c>
      <c r="Q288" s="7">
        <f t="shared" si="56"/>
        <v>13.850000000000062</v>
      </c>
      <c r="R288" s="8">
        <f t="shared" ca="1" si="57"/>
        <v>7.5245717367013187E-2</v>
      </c>
      <c r="S288" s="8">
        <f t="shared" ca="1" si="58"/>
        <v>5.6384379802262039</v>
      </c>
      <c r="T288" s="8">
        <f t="shared" ca="1" si="59"/>
        <v>9.3157150087433145</v>
      </c>
    </row>
    <row r="289" spans="1:20" x14ac:dyDescent="0.25">
      <c r="A289" s="7">
        <f>A288+dt</f>
        <v>13.900000000000063</v>
      </c>
      <c r="B289" s="8">
        <f t="shared" ca="1" si="48"/>
        <v>5.1360450725788126E-2</v>
      </c>
      <c r="C289" s="8">
        <f ca="1">lambda*(a-B288)*dt</f>
        <v>-7.5245717367013187E-3</v>
      </c>
      <c r="D289" s="8">
        <f ca="1">sigma*SQRT(dt)*_xlfn.NORM.S.INV(RAND())</f>
        <v>-1.6360694904523739E-2</v>
      </c>
      <c r="E289" s="8">
        <f t="shared" ca="1" si="49"/>
        <v>-2.3885266641225058E-2</v>
      </c>
      <c r="G289" s="8">
        <f t="shared" ca="1" si="50"/>
        <v>5.6245772853216804</v>
      </c>
      <c r="H289" s="8">
        <f>mu*dt</f>
        <v>2.5000000000000005E-3</v>
      </c>
      <c r="I289" s="8">
        <f t="shared" ca="1" si="51"/>
        <v>-1.6360694904523739E-2</v>
      </c>
      <c r="J289" s="8">
        <f t="shared" ca="1" si="52"/>
        <v>-1.3860694904523739E-2</v>
      </c>
      <c r="L289" s="8">
        <f t="shared" ca="1" si="53"/>
        <v>9.1865927251896302</v>
      </c>
      <c r="M289" s="8">
        <f ca="1">mu*L288*dt</f>
        <v>2.3289287521858288E-2</v>
      </c>
      <c r="N289" s="8">
        <f t="shared" ca="1" si="54"/>
        <v>-0.15241157107554207</v>
      </c>
      <c r="O289" s="8">
        <f t="shared" ca="1" si="55"/>
        <v>-0.12912228355368377</v>
      </c>
      <c r="Q289" s="7">
        <f t="shared" si="56"/>
        <v>13.900000000000063</v>
      </c>
      <c r="R289" s="8">
        <f t="shared" ca="1" si="57"/>
        <v>5.1360450725788126E-2</v>
      </c>
      <c r="S289" s="8">
        <f t="shared" ca="1" si="58"/>
        <v>5.6245772853216804</v>
      </c>
      <c r="T289" s="8">
        <f t="shared" ca="1" si="59"/>
        <v>9.1865927251896302</v>
      </c>
    </row>
    <row r="290" spans="1:20" x14ac:dyDescent="0.25">
      <c r="A290" s="7">
        <f>A289+dt</f>
        <v>13.950000000000063</v>
      </c>
      <c r="B290" s="8">
        <f t="shared" ca="1" si="48"/>
        <v>4.3090226650620886E-2</v>
      </c>
      <c r="C290" s="8">
        <f ca="1">lambda*(a-B289)*dt</f>
        <v>-5.1360450725788133E-3</v>
      </c>
      <c r="D290" s="8">
        <f ca="1">sigma*SQRT(dt)*_xlfn.NORM.S.INV(RAND())</f>
        <v>-3.1341790025884286E-3</v>
      </c>
      <c r="E290" s="8">
        <f t="shared" ca="1" si="49"/>
        <v>-8.2702240751672419E-3</v>
      </c>
      <c r="G290" s="8">
        <f t="shared" ca="1" si="50"/>
        <v>5.6239431063190919</v>
      </c>
      <c r="H290" s="8">
        <f>mu*dt</f>
        <v>2.5000000000000005E-3</v>
      </c>
      <c r="I290" s="8">
        <f t="shared" ca="1" si="51"/>
        <v>-3.1341790025884286E-3</v>
      </c>
      <c r="J290" s="8">
        <f t="shared" ca="1" si="52"/>
        <v>-6.3417900258842808E-4</v>
      </c>
      <c r="L290" s="8">
        <f t="shared" ca="1" si="53"/>
        <v>9.1807667809779829</v>
      </c>
      <c r="M290" s="8">
        <f ca="1">mu*L289*dt</f>
        <v>2.2966481812974077E-2</v>
      </c>
      <c r="N290" s="8">
        <f t="shared" ca="1" si="54"/>
        <v>-2.8792426024620951E-2</v>
      </c>
      <c r="O290" s="8">
        <f t="shared" ca="1" si="55"/>
        <v>-5.8259442116468732E-3</v>
      </c>
      <c r="Q290" s="7">
        <f t="shared" si="56"/>
        <v>13.950000000000063</v>
      </c>
      <c r="R290" s="8">
        <f t="shared" ca="1" si="57"/>
        <v>4.3090226650620886E-2</v>
      </c>
      <c r="S290" s="8">
        <f t="shared" ca="1" si="58"/>
        <v>5.6239431063190919</v>
      </c>
      <c r="T290" s="8">
        <f t="shared" ca="1" si="59"/>
        <v>9.1807667809779829</v>
      </c>
    </row>
    <row r="291" spans="1:20" x14ac:dyDescent="0.25">
      <c r="A291" s="7">
        <f>A290+dt</f>
        <v>14.000000000000064</v>
      </c>
      <c r="B291" s="8">
        <f t="shared" ca="1" si="48"/>
        <v>2.508649493972882E-2</v>
      </c>
      <c r="C291" s="8">
        <f ca="1">lambda*(a-B290)*dt</f>
        <v>-4.3090226650620888E-3</v>
      </c>
      <c r="D291" s="8">
        <f ca="1">sigma*SQRT(dt)*_xlfn.NORM.S.INV(RAND())</f>
        <v>-1.3694709045829978E-2</v>
      </c>
      <c r="E291" s="8">
        <f t="shared" ca="1" si="49"/>
        <v>-1.8003731710892066E-2</v>
      </c>
      <c r="G291" s="8">
        <f t="shared" ca="1" si="50"/>
        <v>5.6127483972732621</v>
      </c>
      <c r="H291" s="8">
        <f>mu*dt</f>
        <v>2.5000000000000005E-3</v>
      </c>
      <c r="I291" s="8">
        <f t="shared" ca="1" si="51"/>
        <v>-1.3694709045829978E-2</v>
      </c>
      <c r="J291" s="8">
        <f t="shared" ca="1" si="52"/>
        <v>-1.1194709045829978E-2</v>
      </c>
      <c r="L291" s="8">
        <f t="shared" ca="1" si="53"/>
        <v>9.0779907680473126</v>
      </c>
      <c r="M291" s="8">
        <f ca="1">mu*L290*dt</f>
        <v>2.2951916952444959E-2</v>
      </c>
      <c r="N291" s="8">
        <f t="shared" ca="1" si="54"/>
        <v>-0.12572792988311454</v>
      </c>
      <c r="O291" s="8">
        <f t="shared" ca="1" si="55"/>
        <v>-0.10277601293066958</v>
      </c>
      <c r="Q291" s="7">
        <f t="shared" si="56"/>
        <v>14.000000000000064</v>
      </c>
      <c r="R291" s="8">
        <f t="shared" ca="1" si="57"/>
        <v>2.508649493972882E-2</v>
      </c>
      <c r="S291" s="8">
        <f t="shared" ca="1" si="58"/>
        <v>5.6127483972732621</v>
      </c>
      <c r="T291" s="8">
        <f t="shared" ca="1" si="59"/>
        <v>9.0779907680473126</v>
      </c>
    </row>
    <row r="292" spans="1:20" x14ac:dyDescent="0.25">
      <c r="A292" s="7">
        <f>A291+dt</f>
        <v>14.050000000000065</v>
      </c>
      <c r="B292" s="8">
        <f t="shared" ca="1" si="48"/>
        <v>3.4205602140570078E-3</v>
      </c>
      <c r="C292" s="8">
        <f ca="1">lambda*(a-B291)*dt</f>
        <v>-2.5086494939728821E-3</v>
      </c>
      <c r="D292" s="8">
        <f ca="1">sigma*SQRT(dt)*_xlfn.NORM.S.INV(RAND())</f>
        <v>-1.915728523169893E-2</v>
      </c>
      <c r="E292" s="8">
        <f t="shared" ca="1" si="49"/>
        <v>-2.1665934725671812E-2</v>
      </c>
      <c r="G292" s="8">
        <f t="shared" ca="1" si="50"/>
        <v>5.5960911120415631</v>
      </c>
      <c r="H292" s="8">
        <f>mu*dt</f>
        <v>2.5000000000000005E-3</v>
      </c>
      <c r="I292" s="8">
        <f t="shared" ca="1" si="51"/>
        <v>-1.915728523169893E-2</v>
      </c>
      <c r="J292" s="8">
        <f t="shared" ca="1" si="52"/>
        <v>-1.6657285231698932E-2</v>
      </c>
      <c r="L292" s="8">
        <f t="shared" ca="1" si="53"/>
        <v>8.9267760864932182</v>
      </c>
      <c r="M292" s="8">
        <f ca="1">mu*L291*dt</f>
        <v>2.2694976920118282E-2</v>
      </c>
      <c r="N292" s="8">
        <f t="shared" ca="1" si="54"/>
        <v>-0.17390965847421203</v>
      </c>
      <c r="O292" s="8">
        <f t="shared" ca="1" si="55"/>
        <v>-0.15121468155409373</v>
      </c>
      <c r="Q292" s="7">
        <f t="shared" si="56"/>
        <v>14.050000000000065</v>
      </c>
      <c r="R292" s="8">
        <f t="shared" ca="1" si="57"/>
        <v>3.4205602140570078E-3</v>
      </c>
      <c r="S292" s="8">
        <f t="shared" ca="1" si="58"/>
        <v>5.5960911120415631</v>
      </c>
      <c r="T292" s="8">
        <f t="shared" ca="1" si="59"/>
        <v>8.9267760864932182</v>
      </c>
    </row>
    <row r="293" spans="1:20" x14ac:dyDescent="0.25">
      <c r="A293" s="7">
        <f>A292+dt</f>
        <v>14.100000000000065</v>
      </c>
      <c r="B293" s="8">
        <f t="shared" ca="1" si="48"/>
        <v>1.7470709006202137E-2</v>
      </c>
      <c r="C293" s="8">
        <f ca="1">lambda*(a-B292)*dt</f>
        <v>-3.4205602140570081E-4</v>
      </c>
      <c r="D293" s="8">
        <f ca="1">sigma*SQRT(dt)*_xlfn.NORM.S.INV(RAND())</f>
        <v>1.439220481355083E-2</v>
      </c>
      <c r="E293" s="8">
        <f t="shared" ca="1" si="49"/>
        <v>1.4050148792145129E-2</v>
      </c>
      <c r="G293" s="8">
        <f t="shared" ca="1" si="50"/>
        <v>5.6129833168551135</v>
      </c>
      <c r="H293" s="8">
        <f>mu*dt</f>
        <v>2.5000000000000005E-3</v>
      </c>
      <c r="I293" s="8">
        <f t="shared" ca="1" si="51"/>
        <v>1.439220481355083E-2</v>
      </c>
      <c r="J293" s="8">
        <f t="shared" ca="1" si="52"/>
        <v>1.6892204813550832E-2</v>
      </c>
      <c r="L293" s="8">
        <f t="shared" ca="1" si="53"/>
        <v>9.077569016470969</v>
      </c>
      <c r="M293" s="8">
        <f ca="1">mu*L292*dt</f>
        <v>2.2316940216233049E-2</v>
      </c>
      <c r="N293" s="8">
        <f t="shared" ca="1" si="54"/>
        <v>0.12847598976151814</v>
      </c>
      <c r="O293" s="8">
        <f t="shared" ca="1" si="55"/>
        <v>0.15079292997775118</v>
      </c>
      <c r="Q293" s="7">
        <f t="shared" si="56"/>
        <v>14.100000000000065</v>
      </c>
      <c r="R293" s="8">
        <f t="shared" ca="1" si="57"/>
        <v>1.7470709006202137E-2</v>
      </c>
      <c r="S293" s="8">
        <f t="shared" ca="1" si="58"/>
        <v>5.6129833168551135</v>
      </c>
      <c r="T293" s="8">
        <f t="shared" ca="1" si="59"/>
        <v>9.077569016470969</v>
      </c>
    </row>
    <row r="294" spans="1:20" x14ac:dyDescent="0.25">
      <c r="A294" s="7">
        <f>A293+dt</f>
        <v>14.150000000000066</v>
      </c>
      <c r="B294" s="8">
        <f t="shared" ca="1" si="48"/>
        <v>1.8557990202406775E-2</v>
      </c>
      <c r="C294" s="8">
        <f ca="1">lambda*(a-B293)*dt</f>
        <v>-1.7470709006202137E-3</v>
      </c>
      <c r="D294" s="8">
        <f ca="1">sigma*SQRT(dt)*_xlfn.NORM.S.INV(RAND())</f>
        <v>2.8343520968248529E-3</v>
      </c>
      <c r="E294" s="8">
        <f t="shared" ca="1" si="49"/>
        <v>1.0872811962046392E-3</v>
      </c>
      <c r="G294" s="8">
        <f t="shared" ca="1" si="50"/>
        <v>5.6183176689519385</v>
      </c>
      <c r="H294" s="8">
        <f>mu*dt</f>
        <v>2.5000000000000005E-3</v>
      </c>
      <c r="I294" s="8">
        <f t="shared" ca="1" si="51"/>
        <v>2.8343520968248529E-3</v>
      </c>
      <c r="J294" s="8">
        <f t="shared" ca="1" si="52"/>
        <v>5.3343520968248534E-3</v>
      </c>
      <c r="L294" s="8">
        <f t="shared" ca="1" si="53"/>
        <v>9.1259919657880531</v>
      </c>
      <c r="M294" s="8">
        <f ca="1">mu*L293*dt</f>
        <v>2.2693922541177428E-2</v>
      </c>
      <c r="N294" s="8">
        <f t="shared" ca="1" si="54"/>
        <v>2.572902677590681E-2</v>
      </c>
      <c r="O294" s="8">
        <f t="shared" ca="1" si="55"/>
        <v>4.8422949317084241E-2</v>
      </c>
      <c r="Q294" s="7">
        <f t="shared" si="56"/>
        <v>14.150000000000066</v>
      </c>
      <c r="R294" s="8">
        <f t="shared" ca="1" si="57"/>
        <v>1.8557990202406775E-2</v>
      </c>
      <c r="S294" s="8">
        <f t="shared" ca="1" si="58"/>
        <v>5.6183176689519385</v>
      </c>
      <c r="T294" s="8">
        <f t="shared" ca="1" si="59"/>
        <v>9.1259919657880531</v>
      </c>
    </row>
    <row r="295" spans="1:20" x14ac:dyDescent="0.25">
      <c r="A295" s="7">
        <f>A294+dt</f>
        <v>14.200000000000067</v>
      </c>
      <c r="B295" s="8">
        <f t="shared" ca="1" si="48"/>
        <v>1.4547573767163891E-2</v>
      </c>
      <c r="C295" s="8">
        <f ca="1">lambda*(a-B294)*dt</f>
        <v>-1.8557990202406776E-3</v>
      </c>
      <c r="D295" s="8">
        <f ca="1">sigma*SQRT(dt)*_xlfn.NORM.S.INV(RAND())</f>
        <v>-2.1546174150022068E-3</v>
      </c>
      <c r="E295" s="8">
        <f t="shared" ca="1" si="49"/>
        <v>-4.0104164352428844E-3</v>
      </c>
      <c r="G295" s="8">
        <f t="shared" ca="1" si="50"/>
        <v>5.6186630515369362</v>
      </c>
      <c r="H295" s="8">
        <f>mu*dt</f>
        <v>2.5000000000000005E-3</v>
      </c>
      <c r="I295" s="8">
        <f t="shared" ca="1" si="51"/>
        <v>-2.1546174150022068E-3</v>
      </c>
      <c r="J295" s="8">
        <f t="shared" ca="1" si="52"/>
        <v>3.4538258499779368E-4</v>
      </c>
      <c r="L295" s="8">
        <f t="shared" ca="1" si="53"/>
        <v>9.1291439244838664</v>
      </c>
      <c r="M295" s="8">
        <f ca="1">mu*L294*dt</f>
        <v>2.2814979914470138E-2</v>
      </c>
      <c r="N295" s="8">
        <f t="shared" ca="1" si="54"/>
        <v>-1.9663021218657161E-2</v>
      </c>
      <c r="O295" s="8">
        <f t="shared" ca="1" si="55"/>
        <v>3.1519586958129765E-3</v>
      </c>
      <c r="Q295" s="7">
        <f t="shared" si="56"/>
        <v>14.200000000000067</v>
      </c>
      <c r="R295" s="8">
        <f t="shared" ca="1" si="57"/>
        <v>1.4547573767163891E-2</v>
      </c>
      <c r="S295" s="8">
        <f t="shared" ca="1" si="58"/>
        <v>5.6186630515369362</v>
      </c>
      <c r="T295" s="8">
        <f t="shared" ca="1" si="59"/>
        <v>9.1291439244838664</v>
      </c>
    </row>
    <row r="296" spans="1:20" x14ac:dyDescent="0.25">
      <c r="A296" s="7">
        <f>A295+dt</f>
        <v>14.250000000000068</v>
      </c>
      <c r="B296" s="8">
        <f t="shared" ca="1" si="48"/>
        <v>9.9800899523045869E-3</v>
      </c>
      <c r="C296" s="8">
        <f ca="1">lambda*(a-B295)*dt</f>
        <v>-1.4547573767163891E-3</v>
      </c>
      <c r="D296" s="8">
        <f ca="1">sigma*SQRT(dt)*_xlfn.NORM.S.INV(RAND())</f>
        <v>-3.1127264381429157E-3</v>
      </c>
      <c r="E296" s="8">
        <f t="shared" ca="1" si="49"/>
        <v>-4.5674838148593048E-3</v>
      </c>
      <c r="G296" s="8">
        <f t="shared" ca="1" si="50"/>
        <v>5.6180503250987934</v>
      </c>
      <c r="H296" s="8">
        <f>mu*dt</f>
        <v>2.5000000000000005E-3</v>
      </c>
      <c r="I296" s="8">
        <f t="shared" ca="1" si="51"/>
        <v>-3.1127264381429157E-3</v>
      </c>
      <c r="J296" s="8">
        <f t="shared" ca="1" si="52"/>
        <v>-6.1272643814291525E-4</v>
      </c>
      <c r="L296" s="8">
        <f t="shared" ca="1" si="53"/>
        <v>9.123550256643723</v>
      </c>
      <c r="M296" s="8">
        <f ca="1">mu*L295*dt</f>
        <v>2.282285981120967E-2</v>
      </c>
      <c r="N296" s="8">
        <f t="shared" ca="1" si="54"/>
        <v>-2.8416527651352705E-2</v>
      </c>
      <c r="O296" s="8">
        <f t="shared" ca="1" si="55"/>
        <v>-5.5936678401430351E-3</v>
      </c>
      <c r="Q296" s="7">
        <f t="shared" si="56"/>
        <v>14.250000000000068</v>
      </c>
      <c r="R296" s="8">
        <f t="shared" ca="1" si="57"/>
        <v>9.9800899523045869E-3</v>
      </c>
      <c r="S296" s="8">
        <f t="shared" ca="1" si="58"/>
        <v>5.6180503250987934</v>
      </c>
      <c r="T296" s="8">
        <f t="shared" ca="1" si="59"/>
        <v>9.123550256643723</v>
      </c>
    </row>
    <row r="297" spans="1:20" x14ac:dyDescent="0.25">
      <c r="A297" s="7">
        <f>A296+dt</f>
        <v>14.300000000000068</v>
      </c>
      <c r="B297" s="8">
        <f t="shared" ca="1" si="48"/>
        <v>-8.601203705700073E-3</v>
      </c>
      <c r="C297" s="8">
        <f ca="1">lambda*(a-B296)*dt</f>
        <v>-9.9800899523045869E-4</v>
      </c>
      <c r="D297" s="8">
        <f ca="1">sigma*SQRT(dt)*_xlfn.NORM.S.INV(RAND())</f>
        <v>-1.7583284662774201E-2</v>
      </c>
      <c r="E297" s="8">
        <f t="shared" ca="1" si="49"/>
        <v>-1.858129365800466E-2</v>
      </c>
      <c r="G297" s="8">
        <f t="shared" ca="1" si="50"/>
        <v>5.6029670404360195</v>
      </c>
      <c r="H297" s="8">
        <f>mu*dt</f>
        <v>2.5000000000000005E-3</v>
      </c>
      <c r="I297" s="8">
        <f t="shared" ca="1" si="51"/>
        <v>-1.7583284662774201E-2</v>
      </c>
      <c r="J297" s="8">
        <f t="shared" ca="1" si="52"/>
        <v>-1.5083284662774201E-2</v>
      </c>
      <c r="L297" s="8">
        <f t="shared" ca="1" si="53"/>
        <v>8.9859371509876382</v>
      </c>
      <c r="M297" s="8">
        <f ca="1">mu*L296*dt</f>
        <v>2.280887564160931E-2</v>
      </c>
      <c r="N297" s="8">
        <f t="shared" ca="1" si="54"/>
        <v>-0.16042198129769319</v>
      </c>
      <c r="O297" s="8">
        <f t="shared" ca="1" si="55"/>
        <v>-0.1376131056560839</v>
      </c>
      <c r="Q297" s="7">
        <f t="shared" si="56"/>
        <v>14.300000000000068</v>
      </c>
      <c r="R297" s="8">
        <f t="shared" ca="1" si="57"/>
        <v>-8.601203705700073E-3</v>
      </c>
      <c r="S297" s="8">
        <f t="shared" ca="1" si="58"/>
        <v>5.6029670404360195</v>
      </c>
      <c r="T297" s="8">
        <f t="shared" ca="1" si="59"/>
        <v>8.9859371509876382</v>
      </c>
    </row>
    <row r="298" spans="1:20" x14ac:dyDescent="0.25">
      <c r="A298" s="7">
        <f>A297+dt</f>
        <v>14.350000000000069</v>
      </c>
      <c r="B298" s="8">
        <f t="shared" ca="1" si="48"/>
        <v>8.0878806803841609E-3</v>
      </c>
      <c r="C298" s="8">
        <f ca="1">lambda*(a-B297)*dt</f>
        <v>8.6012037057000732E-4</v>
      </c>
      <c r="D298" s="8">
        <f ca="1">sigma*SQRT(dt)*_xlfn.NORM.S.INV(RAND())</f>
        <v>1.5828964015514226E-2</v>
      </c>
      <c r="E298" s="8">
        <f t="shared" ca="1" si="49"/>
        <v>1.6689084386084234E-2</v>
      </c>
      <c r="G298" s="8">
        <f t="shared" ca="1" si="50"/>
        <v>5.6212960044515334</v>
      </c>
      <c r="H298" s="8">
        <f>mu*dt</f>
        <v>2.5000000000000005E-3</v>
      </c>
      <c r="I298" s="8">
        <f t="shared" ca="1" si="51"/>
        <v>1.5828964015514226E-2</v>
      </c>
      <c r="J298" s="8">
        <f t="shared" ca="1" si="52"/>
        <v>1.8328964015514225E-2</v>
      </c>
      <c r="L298" s="8">
        <f t="shared" ca="1" si="53"/>
        <v>9.1506400696737629</v>
      </c>
      <c r="M298" s="8">
        <f ca="1">mu*L297*dt</f>
        <v>2.2464842877469096E-2</v>
      </c>
      <c r="N298" s="8">
        <f t="shared" ca="1" si="54"/>
        <v>0.14223807580865575</v>
      </c>
      <c r="O298" s="8">
        <f t="shared" ca="1" si="55"/>
        <v>0.16470291868612486</v>
      </c>
      <c r="Q298" s="7">
        <f t="shared" si="56"/>
        <v>14.350000000000069</v>
      </c>
      <c r="R298" s="8">
        <f t="shared" ca="1" si="57"/>
        <v>8.0878806803841609E-3</v>
      </c>
      <c r="S298" s="8">
        <f t="shared" ca="1" si="58"/>
        <v>5.6212960044515334</v>
      </c>
      <c r="T298" s="8">
        <f t="shared" ca="1" si="59"/>
        <v>9.1506400696737629</v>
      </c>
    </row>
    <row r="299" spans="1:20" x14ac:dyDescent="0.25">
      <c r="A299" s="7">
        <f>A298+dt</f>
        <v>14.40000000000007</v>
      </c>
      <c r="B299" s="8">
        <f t="shared" ca="1" si="48"/>
        <v>1.7167339528004345E-2</v>
      </c>
      <c r="C299" s="8">
        <f ca="1">lambda*(a-B298)*dt</f>
        <v>-8.0878806803841611E-4</v>
      </c>
      <c r="D299" s="8">
        <f ca="1">sigma*SQRT(dt)*_xlfn.NORM.S.INV(RAND())</f>
        <v>9.8882469156586026E-3</v>
      </c>
      <c r="E299" s="8">
        <f t="shared" ca="1" si="49"/>
        <v>9.0794588476201862E-3</v>
      </c>
      <c r="G299" s="8">
        <f t="shared" ca="1" si="50"/>
        <v>5.6336842513671916</v>
      </c>
      <c r="H299" s="8">
        <f>mu*dt</f>
        <v>2.5000000000000005E-3</v>
      </c>
      <c r="I299" s="8">
        <f t="shared" ca="1" si="51"/>
        <v>9.8882469156586026E-3</v>
      </c>
      <c r="J299" s="8">
        <f t="shared" ca="1" si="52"/>
        <v>1.2388246915658603E-2</v>
      </c>
      <c r="L299" s="8">
        <f t="shared" ca="1" si="53"/>
        <v>9.2640004582932001</v>
      </c>
      <c r="M299" s="8">
        <f ca="1">mu*L298*dt</f>
        <v>2.287660017418441E-2</v>
      </c>
      <c r="N299" s="8">
        <f t="shared" ca="1" si="54"/>
        <v>9.0483788445253607E-2</v>
      </c>
      <c r="O299" s="8">
        <f t="shared" ca="1" si="55"/>
        <v>0.11336038861943802</v>
      </c>
      <c r="Q299" s="7">
        <f t="shared" si="56"/>
        <v>14.40000000000007</v>
      </c>
      <c r="R299" s="8">
        <f t="shared" ca="1" si="57"/>
        <v>1.7167339528004345E-2</v>
      </c>
      <c r="S299" s="8">
        <f t="shared" ca="1" si="58"/>
        <v>5.6336842513671916</v>
      </c>
      <c r="T299" s="8">
        <f t="shared" ca="1" si="59"/>
        <v>9.2640004582932001</v>
      </c>
    </row>
    <row r="300" spans="1:20" x14ac:dyDescent="0.25">
      <c r="A300" s="7">
        <f>A299+dt</f>
        <v>14.45000000000007</v>
      </c>
      <c r="B300" s="8">
        <f t="shared" ca="1" si="48"/>
        <v>2.3012679236914659E-2</v>
      </c>
      <c r="C300" s="8">
        <f ca="1">lambda*(a-B299)*dt</f>
        <v>-1.7167339528004347E-3</v>
      </c>
      <c r="D300" s="8">
        <f ca="1">sigma*SQRT(dt)*_xlfn.NORM.S.INV(RAND())</f>
        <v>7.5620736617107494E-3</v>
      </c>
      <c r="E300" s="8">
        <f t="shared" ca="1" si="49"/>
        <v>5.8453397089103147E-3</v>
      </c>
      <c r="G300" s="8">
        <f t="shared" ca="1" si="50"/>
        <v>5.6437463250289026</v>
      </c>
      <c r="H300" s="8">
        <f>mu*dt</f>
        <v>2.5000000000000005E-3</v>
      </c>
      <c r="I300" s="8">
        <f t="shared" ca="1" si="51"/>
        <v>7.5620736617107494E-3</v>
      </c>
      <c r="J300" s="8">
        <f t="shared" ca="1" si="52"/>
        <v>1.006207366171075E-2</v>
      </c>
      <c r="L300" s="8">
        <f t="shared" ca="1" si="53"/>
        <v>9.3572155133066683</v>
      </c>
      <c r="M300" s="8">
        <f ca="1">mu*L299*dt</f>
        <v>2.3160001145733002E-2</v>
      </c>
      <c r="N300" s="8">
        <f t="shared" ca="1" si="54"/>
        <v>7.005505386773532E-2</v>
      </c>
      <c r="O300" s="8">
        <f t="shared" ca="1" si="55"/>
        <v>9.3215055013468329E-2</v>
      </c>
      <c r="Q300" s="7">
        <f t="shared" si="56"/>
        <v>14.45000000000007</v>
      </c>
      <c r="R300" s="8">
        <f t="shared" ca="1" si="57"/>
        <v>2.3012679236914659E-2</v>
      </c>
      <c r="S300" s="8">
        <f t="shared" ca="1" si="58"/>
        <v>5.6437463250289026</v>
      </c>
      <c r="T300" s="8">
        <f t="shared" ca="1" si="59"/>
        <v>9.3572155133066683</v>
      </c>
    </row>
    <row r="301" spans="1:20" x14ac:dyDescent="0.25">
      <c r="A301" s="7">
        <f>A300+dt</f>
        <v>14.500000000000071</v>
      </c>
      <c r="B301" s="8">
        <f t="shared" ca="1" si="48"/>
        <v>1.5501360399145701E-2</v>
      </c>
      <c r="C301" s="8">
        <f ca="1">lambda*(a-B300)*dt</f>
        <v>-2.3012679236914658E-3</v>
      </c>
      <c r="D301" s="8">
        <f ca="1">sigma*SQRT(dt)*_xlfn.NORM.S.INV(RAND())</f>
        <v>-5.2100509140774924E-3</v>
      </c>
      <c r="E301" s="8">
        <f t="shared" ca="1" si="49"/>
        <v>-7.5113188377689578E-3</v>
      </c>
      <c r="G301" s="8">
        <f t="shared" ca="1" si="50"/>
        <v>5.6410362741148248</v>
      </c>
      <c r="H301" s="8">
        <f>mu*dt</f>
        <v>2.5000000000000005E-3</v>
      </c>
      <c r="I301" s="8">
        <f t="shared" ca="1" si="51"/>
        <v>-5.2100509140774924E-3</v>
      </c>
      <c r="J301" s="8">
        <f t="shared" ca="1" si="52"/>
        <v>-2.710050914077492E-3</v>
      </c>
      <c r="L301" s="8">
        <f t="shared" ca="1" si="53"/>
        <v>9.3318569828516118</v>
      </c>
      <c r="M301" s="8">
        <f ca="1">mu*L300*dt</f>
        <v>2.3393038783266675E-2</v>
      </c>
      <c r="N301" s="8">
        <f t="shared" ca="1" si="54"/>
        <v>-4.8751569238323501E-2</v>
      </c>
      <c r="O301" s="8">
        <f t="shared" ca="1" si="55"/>
        <v>-2.5358530455056826E-2</v>
      </c>
      <c r="Q301" s="7">
        <f t="shared" si="56"/>
        <v>14.500000000000071</v>
      </c>
      <c r="R301" s="8">
        <f t="shared" ca="1" si="57"/>
        <v>1.5501360399145701E-2</v>
      </c>
      <c r="S301" s="8">
        <f t="shared" ca="1" si="58"/>
        <v>5.6410362741148248</v>
      </c>
      <c r="T301" s="8">
        <f t="shared" ca="1" si="59"/>
        <v>9.3318569828516118</v>
      </c>
    </row>
    <row r="302" spans="1:20" x14ac:dyDescent="0.25">
      <c r="A302" s="7">
        <f>A301+dt</f>
        <v>14.550000000000072</v>
      </c>
      <c r="B302" s="8">
        <f t="shared" ca="1" si="48"/>
        <v>5.9828799428963807E-3</v>
      </c>
      <c r="C302" s="8">
        <f ca="1">lambda*(a-B301)*dt</f>
        <v>-1.5501360399145703E-3</v>
      </c>
      <c r="D302" s="8">
        <f ca="1">sigma*SQRT(dt)*_xlfn.NORM.S.INV(RAND())</f>
        <v>-7.9683444163347501E-3</v>
      </c>
      <c r="E302" s="8">
        <f t="shared" ca="1" si="49"/>
        <v>-9.5184804562493206E-3</v>
      </c>
      <c r="G302" s="8">
        <f t="shared" ca="1" si="50"/>
        <v>5.6355679296984897</v>
      </c>
      <c r="H302" s="8">
        <f>mu*dt</f>
        <v>2.5000000000000005E-3</v>
      </c>
      <c r="I302" s="8">
        <f t="shared" ca="1" si="51"/>
        <v>-7.9683444163347501E-3</v>
      </c>
      <c r="J302" s="8">
        <f t="shared" ca="1" si="52"/>
        <v>-5.4683444163347496E-3</v>
      </c>
      <c r="L302" s="8">
        <f t="shared" ca="1" si="53"/>
        <v>9.2808271748254008</v>
      </c>
      <c r="M302" s="8">
        <f ca="1">mu*L301*dt</f>
        <v>2.332964245712903E-2</v>
      </c>
      <c r="N302" s="8">
        <f t="shared" ca="1" si="54"/>
        <v>-7.4359450483340084E-2</v>
      </c>
      <c r="O302" s="8">
        <f t="shared" ca="1" si="55"/>
        <v>-5.1029808026211057E-2</v>
      </c>
      <c r="Q302" s="7">
        <f t="shared" si="56"/>
        <v>14.550000000000072</v>
      </c>
      <c r="R302" s="8">
        <f t="shared" ca="1" si="57"/>
        <v>5.9828799428963807E-3</v>
      </c>
      <c r="S302" s="8">
        <f t="shared" ca="1" si="58"/>
        <v>5.6355679296984897</v>
      </c>
      <c r="T302" s="8">
        <f t="shared" ca="1" si="59"/>
        <v>9.2808271748254008</v>
      </c>
    </row>
    <row r="303" spans="1:20" x14ac:dyDescent="0.25">
      <c r="A303" s="7">
        <f>A302+dt</f>
        <v>14.600000000000072</v>
      </c>
      <c r="B303" s="8">
        <f t="shared" ca="1" si="48"/>
        <v>-4.2558748567267397E-3</v>
      </c>
      <c r="C303" s="8">
        <f ca="1">lambda*(a-B302)*dt</f>
        <v>-5.9828799428963812E-4</v>
      </c>
      <c r="D303" s="8">
        <f ca="1">sigma*SQRT(dt)*_xlfn.NORM.S.INV(RAND())</f>
        <v>-9.6404668053334825E-3</v>
      </c>
      <c r="E303" s="8">
        <f t="shared" ca="1" si="49"/>
        <v>-1.023875479962312E-2</v>
      </c>
      <c r="G303" s="8">
        <f t="shared" ca="1" si="50"/>
        <v>5.6284274628931561</v>
      </c>
      <c r="H303" s="8">
        <f>mu*dt</f>
        <v>2.5000000000000005E-3</v>
      </c>
      <c r="I303" s="8">
        <f t="shared" ca="1" si="51"/>
        <v>-9.6404668053334825E-3</v>
      </c>
      <c r="J303" s="8">
        <f t="shared" ca="1" si="52"/>
        <v>-7.140466805333482E-3</v>
      </c>
      <c r="L303" s="8">
        <f t="shared" ca="1" si="53"/>
        <v>9.2145577364575235</v>
      </c>
      <c r="M303" s="8">
        <f ca="1">mu*L302*dt</f>
        <v>2.3202067937063503E-2</v>
      </c>
      <c r="N303" s="8">
        <f t="shared" ca="1" si="54"/>
        <v>-8.9471506304941203E-2</v>
      </c>
      <c r="O303" s="8">
        <f t="shared" ca="1" si="55"/>
        <v>-6.62694383678777E-2</v>
      </c>
      <c r="Q303" s="7">
        <f t="shared" si="56"/>
        <v>14.600000000000072</v>
      </c>
      <c r="R303" s="8">
        <f t="shared" ca="1" si="57"/>
        <v>-4.2558748567267397E-3</v>
      </c>
      <c r="S303" s="8">
        <f t="shared" ca="1" si="58"/>
        <v>5.6284274628931561</v>
      </c>
      <c r="T303" s="8">
        <f t="shared" ca="1" si="59"/>
        <v>9.2145577364575235</v>
      </c>
    </row>
    <row r="304" spans="1:20" x14ac:dyDescent="0.25">
      <c r="A304" s="7">
        <f>A303+dt</f>
        <v>14.650000000000073</v>
      </c>
      <c r="B304" s="8">
        <f t="shared" ca="1" si="48"/>
        <v>-6.1223397440837947E-3</v>
      </c>
      <c r="C304" s="8">
        <f ca="1">lambda*(a-B303)*dt</f>
        <v>4.2558748567267401E-4</v>
      </c>
      <c r="D304" s="8">
        <f ca="1">sigma*SQRT(dt)*_xlfn.NORM.S.INV(RAND())</f>
        <v>-2.2920523730297292E-3</v>
      </c>
      <c r="E304" s="8">
        <f t="shared" ca="1" si="49"/>
        <v>-1.8664648873570552E-3</v>
      </c>
      <c r="G304" s="8">
        <f t="shared" ca="1" si="50"/>
        <v>5.6286354105201264</v>
      </c>
      <c r="H304" s="8">
        <f>mu*dt</f>
        <v>2.5000000000000005E-3</v>
      </c>
      <c r="I304" s="8">
        <f t="shared" ca="1" si="51"/>
        <v>-2.2920523730297292E-3</v>
      </c>
      <c r="J304" s="8">
        <f t="shared" ca="1" si="52"/>
        <v>2.0794762697027127E-4</v>
      </c>
      <c r="L304" s="8">
        <f t="shared" ca="1" si="53"/>
        <v>9.2164738818723997</v>
      </c>
      <c r="M304" s="8">
        <f ca="1">mu*L303*dt</f>
        <v>2.3036394341143809E-2</v>
      </c>
      <c r="N304" s="8">
        <f t="shared" ca="1" si="54"/>
        <v>-2.1120248926266919E-2</v>
      </c>
      <c r="O304" s="8">
        <f t="shared" ca="1" si="55"/>
        <v>1.9161454148768908E-3</v>
      </c>
      <c r="Q304" s="7">
        <f t="shared" si="56"/>
        <v>14.650000000000073</v>
      </c>
      <c r="R304" s="8">
        <f t="shared" ca="1" si="57"/>
        <v>-6.1223397440837947E-3</v>
      </c>
      <c r="S304" s="8">
        <f t="shared" ca="1" si="58"/>
        <v>5.6286354105201264</v>
      </c>
      <c r="T304" s="8">
        <f t="shared" ca="1" si="59"/>
        <v>9.2164738818723997</v>
      </c>
    </row>
    <row r="305" spans="1:20" x14ac:dyDescent="0.25">
      <c r="A305" s="7">
        <f>A304+dt</f>
        <v>14.700000000000074</v>
      </c>
      <c r="B305" s="8">
        <f t="shared" ca="1" si="48"/>
        <v>3.6649553479655142E-3</v>
      </c>
      <c r="C305" s="8">
        <f ca="1">lambda*(a-B304)*dt</f>
        <v>6.1223397440837951E-4</v>
      </c>
      <c r="D305" s="8">
        <f ca="1">sigma*SQRT(dt)*_xlfn.NORM.S.INV(RAND())</f>
        <v>9.17506111764093E-3</v>
      </c>
      <c r="E305" s="8">
        <f t="shared" ca="1" si="49"/>
        <v>9.7872950920493088E-3</v>
      </c>
      <c r="G305" s="8">
        <f t="shared" ca="1" si="50"/>
        <v>5.6403104716377674</v>
      </c>
      <c r="H305" s="8">
        <f>mu*dt</f>
        <v>2.5000000000000005E-3</v>
      </c>
      <c r="I305" s="8">
        <f t="shared" ca="1" si="51"/>
        <v>9.17506111764093E-3</v>
      </c>
      <c r="J305" s="8">
        <f t="shared" ca="1" si="52"/>
        <v>1.167506111764093E-2</v>
      </c>
      <c r="L305" s="8">
        <f t="shared" ca="1" si="53"/>
        <v>9.324076777732401</v>
      </c>
      <c r="M305" s="8">
        <f ca="1">mu*L304*dt</f>
        <v>2.3041184704681E-2</v>
      </c>
      <c r="N305" s="8">
        <f t="shared" ca="1" si="54"/>
        <v>8.4561711155320615E-2</v>
      </c>
      <c r="O305" s="8">
        <f t="shared" ca="1" si="55"/>
        <v>0.10760289586000162</v>
      </c>
      <c r="Q305" s="7">
        <f t="shared" si="56"/>
        <v>14.700000000000074</v>
      </c>
      <c r="R305" s="8">
        <f t="shared" ca="1" si="57"/>
        <v>3.6649553479655142E-3</v>
      </c>
      <c r="S305" s="8">
        <f t="shared" ca="1" si="58"/>
        <v>5.6403104716377674</v>
      </c>
      <c r="T305" s="8">
        <f t="shared" ca="1" si="59"/>
        <v>9.324076777732401</v>
      </c>
    </row>
    <row r="306" spans="1:20" x14ac:dyDescent="0.25">
      <c r="A306" s="7">
        <f>A305+dt</f>
        <v>14.750000000000075</v>
      </c>
      <c r="B306" s="8">
        <f t="shared" ca="1" si="48"/>
        <v>1.1527698627641574E-2</v>
      </c>
      <c r="C306" s="8">
        <f ca="1">lambda*(a-B305)*dt</f>
        <v>-3.6649553479655144E-4</v>
      </c>
      <c r="D306" s="8">
        <f ca="1">sigma*SQRT(dt)*_xlfn.NORM.S.INV(RAND())</f>
        <v>8.2292388144726107E-3</v>
      </c>
      <c r="E306" s="8">
        <f t="shared" ca="1" si="49"/>
        <v>7.8627432796760585E-3</v>
      </c>
      <c r="G306" s="8">
        <f t="shared" ca="1" si="50"/>
        <v>5.6510397104522401</v>
      </c>
      <c r="H306" s="8">
        <f>mu*dt</f>
        <v>2.5000000000000005E-3</v>
      </c>
      <c r="I306" s="8">
        <f t="shared" ca="1" si="51"/>
        <v>8.2292388144726107E-3</v>
      </c>
      <c r="J306" s="8">
        <f t="shared" ca="1" si="52"/>
        <v>1.0729238814472611E-2</v>
      </c>
      <c r="L306" s="8">
        <f t="shared" ca="1" si="53"/>
        <v>9.4241170242051702</v>
      </c>
      <c r="M306" s="8">
        <f ca="1">mu*L305*dt</f>
        <v>2.3310191944331007E-2</v>
      </c>
      <c r="N306" s="8">
        <f t="shared" ca="1" si="54"/>
        <v>7.6730054528438188E-2</v>
      </c>
      <c r="O306" s="8">
        <f t="shared" ca="1" si="55"/>
        <v>0.1000402464727692</v>
      </c>
      <c r="Q306" s="7">
        <f t="shared" si="56"/>
        <v>14.750000000000075</v>
      </c>
      <c r="R306" s="8">
        <f t="shared" ca="1" si="57"/>
        <v>1.1527698627641574E-2</v>
      </c>
      <c r="S306" s="8">
        <f t="shared" ca="1" si="58"/>
        <v>5.6510397104522401</v>
      </c>
      <c r="T306" s="8">
        <f t="shared" ca="1" si="59"/>
        <v>9.4241170242051702</v>
      </c>
    </row>
    <row r="307" spans="1:20" x14ac:dyDescent="0.25">
      <c r="A307" s="7">
        <f>A306+dt</f>
        <v>14.800000000000075</v>
      </c>
      <c r="B307" s="8">
        <f t="shared" ca="1" si="48"/>
        <v>6.7607277994926806E-3</v>
      </c>
      <c r="C307" s="8">
        <f ca="1">lambda*(a-B306)*dt</f>
        <v>-1.1527698627641573E-3</v>
      </c>
      <c r="D307" s="8">
        <f ca="1">sigma*SQRT(dt)*_xlfn.NORM.S.INV(RAND())</f>
        <v>-3.6142009653847358E-3</v>
      </c>
      <c r="E307" s="8">
        <f t="shared" ca="1" si="49"/>
        <v>-4.7669708281488929E-3</v>
      </c>
      <c r="G307" s="8">
        <f t="shared" ca="1" si="50"/>
        <v>5.649925509486855</v>
      </c>
      <c r="H307" s="8">
        <f>mu*dt</f>
        <v>2.5000000000000005E-3</v>
      </c>
      <c r="I307" s="8">
        <f t="shared" ca="1" si="51"/>
        <v>-3.6142009653847358E-3</v>
      </c>
      <c r="J307" s="8">
        <f t="shared" ca="1" si="52"/>
        <v>-1.1142009653847353E-3</v>
      </c>
      <c r="L307" s="8">
        <f t="shared" ca="1" si="53"/>
        <v>9.4136166639189014</v>
      </c>
      <c r="M307" s="8">
        <f ca="1">mu*L306*dt</f>
        <v>2.3560292560512928E-2</v>
      </c>
      <c r="N307" s="8">
        <f t="shared" ca="1" si="54"/>
        <v>-3.4060652846781052E-2</v>
      </c>
      <c r="O307" s="8">
        <f t="shared" ca="1" si="55"/>
        <v>-1.0500360286268124E-2</v>
      </c>
      <c r="Q307" s="7">
        <f t="shared" si="56"/>
        <v>14.800000000000075</v>
      </c>
      <c r="R307" s="8">
        <f t="shared" ca="1" si="57"/>
        <v>6.7607277994926806E-3</v>
      </c>
      <c r="S307" s="8">
        <f t="shared" ca="1" si="58"/>
        <v>5.649925509486855</v>
      </c>
      <c r="T307" s="8">
        <f t="shared" ca="1" si="59"/>
        <v>9.4136166639189014</v>
      </c>
    </row>
    <row r="308" spans="1:20" x14ac:dyDescent="0.25">
      <c r="A308" s="7">
        <f>A307+dt</f>
        <v>14.850000000000076</v>
      </c>
      <c r="B308" s="8">
        <f t="shared" ca="1" si="48"/>
        <v>1.192633470459516E-2</v>
      </c>
      <c r="C308" s="8">
        <f ca="1">lambda*(a-B307)*dt</f>
        <v>-6.7607277994926815E-4</v>
      </c>
      <c r="D308" s="8">
        <f ca="1">sigma*SQRT(dt)*_xlfn.NORM.S.INV(RAND())</f>
        <v>5.8416796850517469E-3</v>
      </c>
      <c r="E308" s="8">
        <f t="shared" ca="1" si="49"/>
        <v>5.1656069051024787E-3</v>
      </c>
      <c r="G308" s="8">
        <f t="shared" ca="1" si="50"/>
        <v>5.658267189171907</v>
      </c>
      <c r="H308" s="8">
        <f>mu*dt</f>
        <v>2.5000000000000005E-3</v>
      </c>
      <c r="I308" s="8">
        <f t="shared" ca="1" si="51"/>
        <v>5.8416796850517469E-3</v>
      </c>
      <c r="J308" s="8">
        <f t="shared" ca="1" si="52"/>
        <v>8.3416796850517474E-3</v>
      </c>
      <c r="L308" s="8">
        <f t="shared" ca="1" si="53"/>
        <v>9.4921420388071791</v>
      </c>
      <c r="M308" s="8">
        <f ca="1">mu*L307*dt</f>
        <v>2.3534041659797257E-2</v>
      </c>
      <c r="N308" s="8">
        <f t="shared" ca="1" si="54"/>
        <v>5.4991333228479641E-2</v>
      </c>
      <c r="O308" s="8">
        <f t="shared" ca="1" si="55"/>
        <v>7.8525374888276905E-2</v>
      </c>
      <c r="Q308" s="7">
        <f t="shared" si="56"/>
        <v>14.850000000000076</v>
      </c>
      <c r="R308" s="8">
        <f t="shared" ca="1" si="57"/>
        <v>1.192633470459516E-2</v>
      </c>
      <c r="S308" s="8">
        <f t="shared" ca="1" si="58"/>
        <v>5.658267189171907</v>
      </c>
      <c r="T308" s="8">
        <f t="shared" ca="1" si="59"/>
        <v>9.4921420388071791</v>
      </c>
    </row>
    <row r="309" spans="1:20" x14ac:dyDescent="0.25">
      <c r="A309" s="7">
        <f>A308+dt</f>
        <v>14.900000000000077</v>
      </c>
      <c r="B309" s="8">
        <f t="shared" ca="1" si="48"/>
        <v>2.6352098878408645E-2</v>
      </c>
      <c r="C309" s="8">
        <f ca="1">lambda*(a-B308)*dt</f>
        <v>-1.1926334704595162E-3</v>
      </c>
      <c r="D309" s="8">
        <f ca="1">sigma*SQRT(dt)*_xlfn.NORM.S.INV(RAND())</f>
        <v>1.5618397644273E-2</v>
      </c>
      <c r="E309" s="8">
        <f t="shared" ca="1" si="49"/>
        <v>1.4425764173813485E-2</v>
      </c>
      <c r="G309" s="8">
        <f t="shared" ca="1" si="50"/>
        <v>5.6763855868161803</v>
      </c>
      <c r="H309" s="8">
        <f>mu*dt</f>
        <v>2.5000000000000005E-3</v>
      </c>
      <c r="I309" s="8">
        <f t="shared" ca="1" si="51"/>
        <v>1.5618397644273E-2</v>
      </c>
      <c r="J309" s="8">
        <f t="shared" ca="1" si="52"/>
        <v>1.8118397644273001E-2</v>
      </c>
      <c r="L309" s="8">
        <f t="shared" ca="1" si="53"/>
        <v>9.6641244427622084</v>
      </c>
      <c r="M309" s="8">
        <f ca="1">mu*L308*dt</f>
        <v>2.3730355097017951E-2</v>
      </c>
      <c r="N309" s="8">
        <f t="shared" ca="1" si="54"/>
        <v>0.14825204885801077</v>
      </c>
      <c r="O309" s="8">
        <f t="shared" ca="1" si="55"/>
        <v>0.17198240395502873</v>
      </c>
      <c r="Q309" s="7">
        <f t="shared" si="56"/>
        <v>14.900000000000077</v>
      </c>
      <c r="R309" s="8">
        <f t="shared" ca="1" si="57"/>
        <v>2.6352098878408645E-2</v>
      </c>
      <c r="S309" s="8">
        <f t="shared" ca="1" si="58"/>
        <v>5.6763855868161803</v>
      </c>
      <c r="T309" s="8">
        <f t="shared" ca="1" si="59"/>
        <v>9.6641244427622084</v>
      </c>
    </row>
    <row r="310" spans="1:20" x14ac:dyDescent="0.25">
      <c r="A310" s="7">
        <f>A309+dt</f>
        <v>14.950000000000077</v>
      </c>
      <c r="B310" s="8">
        <f t="shared" ca="1" si="48"/>
        <v>3.5141008159862326E-2</v>
      </c>
      <c r="C310" s="8">
        <f ca="1">lambda*(a-B309)*dt</f>
        <v>-2.6352098878408645E-3</v>
      </c>
      <c r="D310" s="8">
        <f ca="1">sigma*SQRT(dt)*_xlfn.NORM.S.INV(RAND())</f>
        <v>1.1424119169294544E-2</v>
      </c>
      <c r="E310" s="8">
        <f t="shared" ca="1" si="49"/>
        <v>8.7889092814536791E-3</v>
      </c>
      <c r="G310" s="8">
        <f t="shared" ca="1" si="50"/>
        <v>5.6903097059854746</v>
      </c>
      <c r="H310" s="8">
        <f>mu*dt</f>
        <v>2.5000000000000005E-3</v>
      </c>
      <c r="I310" s="8">
        <f t="shared" ca="1" si="51"/>
        <v>1.1424119169294544E-2</v>
      </c>
      <c r="J310" s="8">
        <f t="shared" ca="1" si="52"/>
        <v>1.3924119169294544E-2</v>
      </c>
      <c r="L310" s="8">
        <f t="shared" ca="1" si="53"/>
        <v>9.7986888631701223</v>
      </c>
      <c r="M310" s="8">
        <f ca="1">mu*L309*dt</f>
        <v>2.4160311106905523E-2</v>
      </c>
      <c r="N310" s="8">
        <f t="shared" ca="1" si="54"/>
        <v>0.11040410930100769</v>
      </c>
      <c r="O310" s="8">
        <f t="shared" ca="1" si="55"/>
        <v>0.13456442040791322</v>
      </c>
      <c r="Q310" s="7">
        <f t="shared" si="56"/>
        <v>14.950000000000077</v>
      </c>
      <c r="R310" s="8">
        <f t="shared" ca="1" si="57"/>
        <v>3.5141008159862326E-2</v>
      </c>
      <c r="S310" s="8">
        <f t="shared" ca="1" si="58"/>
        <v>5.6903097059854746</v>
      </c>
      <c r="T310" s="8">
        <f t="shared" ca="1" si="59"/>
        <v>9.7986888631701223</v>
      </c>
    </row>
    <row r="311" spans="1:20" x14ac:dyDescent="0.25">
      <c r="A311" s="7">
        <f>A310+dt</f>
        <v>15.000000000000078</v>
      </c>
      <c r="B311" s="8">
        <f t="shared" ca="1" si="48"/>
        <v>4.1999047979319921E-2</v>
      </c>
      <c r="C311" s="8">
        <f ca="1">lambda*(a-B310)*dt</f>
        <v>-3.5141008159862326E-3</v>
      </c>
      <c r="D311" s="8">
        <f ca="1">sigma*SQRT(dt)*_xlfn.NORM.S.INV(RAND())</f>
        <v>1.037214063544383E-2</v>
      </c>
      <c r="E311" s="8">
        <f t="shared" ca="1" si="49"/>
        <v>6.8580398194575971E-3</v>
      </c>
      <c r="G311" s="8">
        <f t="shared" ca="1" si="50"/>
        <v>5.7031818466209181</v>
      </c>
      <c r="H311" s="8">
        <f>mu*dt</f>
        <v>2.5000000000000005E-3</v>
      </c>
      <c r="I311" s="8">
        <f t="shared" ca="1" si="51"/>
        <v>1.037214063544383E-2</v>
      </c>
      <c r="J311" s="8">
        <f t="shared" ca="1" si="52"/>
        <v>1.287214063544383E-2</v>
      </c>
      <c r="L311" s="8">
        <f t="shared" ca="1" si="53"/>
        <v>9.9248189642598046</v>
      </c>
      <c r="M311" s="8">
        <f ca="1">mu*L310*dt</f>
        <v>2.449672215792531E-2</v>
      </c>
      <c r="N311" s="8">
        <f t="shared" ca="1" si="54"/>
        <v>0.10163337893175772</v>
      </c>
      <c r="O311" s="8">
        <f t="shared" ca="1" si="55"/>
        <v>0.12613010108968303</v>
      </c>
      <c r="Q311" s="7">
        <f t="shared" si="56"/>
        <v>15.000000000000078</v>
      </c>
      <c r="R311" s="8">
        <f t="shared" ca="1" si="57"/>
        <v>4.1999047979319921E-2</v>
      </c>
      <c r="S311" s="8">
        <f t="shared" ca="1" si="58"/>
        <v>5.7031818466209181</v>
      </c>
      <c r="T311" s="8">
        <f t="shared" ca="1" si="59"/>
        <v>9.9248189642598046</v>
      </c>
    </row>
    <row r="312" spans="1:20" x14ac:dyDescent="0.25">
      <c r="A312" s="7">
        <f>A311+dt</f>
        <v>15.050000000000079</v>
      </c>
      <c r="B312" s="8">
        <f t="shared" ca="1" si="48"/>
        <v>4.6966218371828787E-2</v>
      </c>
      <c r="C312" s="8">
        <f ca="1">lambda*(a-B311)*dt</f>
        <v>-4.1999047979319921E-3</v>
      </c>
      <c r="D312" s="8">
        <f ca="1">sigma*SQRT(dt)*_xlfn.NORM.S.INV(RAND())</f>
        <v>9.167075190440856E-3</v>
      </c>
      <c r="E312" s="8">
        <f t="shared" ca="1" si="49"/>
        <v>4.9671703925088639E-3</v>
      </c>
      <c r="G312" s="8">
        <f t="shared" ca="1" si="50"/>
        <v>5.7148489218113587</v>
      </c>
      <c r="H312" s="8">
        <f>mu*dt</f>
        <v>2.5000000000000005E-3</v>
      </c>
      <c r="I312" s="8">
        <f t="shared" ca="1" si="51"/>
        <v>9.167075190440856E-3</v>
      </c>
      <c r="J312" s="8">
        <f t="shared" ca="1" si="52"/>
        <v>1.1667075190440857E-2</v>
      </c>
      <c r="L312" s="8">
        <f t="shared" ca="1" si="53"/>
        <v>10.040612573367337</v>
      </c>
      <c r="M312" s="8">
        <f ca="1">mu*L311*dt</f>
        <v>2.4812047410649515E-2</v>
      </c>
      <c r="N312" s="8">
        <f t="shared" ca="1" si="54"/>
        <v>9.098156169688297E-2</v>
      </c>
      <c r="O312" s="8">
        <f t="shared" ca="1" si="55"/>
        <v>0.11579360910753249</v>
      </c>
      <c r="Q312" s="7">
        <f t="shared" si="56"/>
        <v>15.050000000000079</v>
      </c>
      <c r="R312" s="8">
        <f t="shared" ca="1" si="57"/>
        <v>4.6966218371828787E-2</v>
      </c>
      <c r="S312" s="8">
        <f t="shared" ca="1" si="58"/>
        <v>5.7148489218113587</v>
      </c>
      <c r="T312" s="8">
        <f t="shared" ca="1" si="59"/>
        <v>10.040612573367337</v>
      </c>
    </row>
    <row r="313" spans="1:20" x14ac:dyDescent="0.25">
      <c r="A313" s="7">
        <f>A312+dt</f>
        <v>15.10000000000008</v>
      </c>
      <c r="B313" s="8">
        <f t="shared" ca="1" si="48"/>
        <v>4.6844228263100918E-2</v>
      </c>
      <c r="C313" s="8">
        <f ca="1">lambda*(a-B312)*dt</f>
        <v>-4.6966218371828792E-3</v>
      </c>
      <c r="D313" s="8">
        <f ca="1">sigma*SQRT(dt)*_xlfn.NORM.S.INV(RAND())</f>
        <v>4.5746317284550073E-3</v>
      </c>
      <c r="E313" s="8">
        <f t="shared" ca="1" si="49"/>
        <v>-1.2199010872787196E-4</v>
      </c>
      <c r="G313" s="8">
        <f t="shared" ca="1" si="50"/>
        <v>5.7219235535398134</v>
      </c>
      <c r="H313" s="8">
        <f>mu*dt</f>
        <v>2.5000000000000005E-3</v>
      </c>
      <c r="I313" s="8">
        <f t="shared" ca="1" si="51"/>
        <v>4.5746317284550073E-3</v>
      </c>
      <c r="J313" s="8">
        <f t="shared" ca="1" si="52"/>
        <v>7.0746317284550077E-3</v>
      </c>
      <c r="L313" s="8">
        <f t="shared" ca="1" si="53"/>
        <v>10.111646209652006</v>
      </c>
      <c r="M313" s="8">
        <f ca="1">mu*L312*dt</f>
        <v>2.5101531433418346E-2</v>
      </c>
      <c r="N313" s="8">
        <f t="shared" ca="1" si="54"/>
        <v>4.5932104851250502E-2</v>
      </c>
      <c r="O313" s="8">
        <f t="shared" ca="1" si="55"/>
        <v>7.1033636284668855E-2</v>
      </c>
      <c r="Q313" s="7">
        <f t="shared" si="56"/>
        <v>15.10000000000008</v>
      </c>
      <c r="R313" s="8">
        <f t="shared" ca="1" si="57"/>
        <v>4.6844228263100918E-2</v>
      </c>
      <c r="S313" s="8">
        <f t="shared" ca="1" si="58"/>
        <v>5.7219235535398134</v>
      </c>
      <c r="T313" s="8">
        <f t="shared" ca="1" si="59"/>
        <v>10.111646209652006</v>
      </c>
    </row>
    <row r="314" spans="1:20" x14ac:dyDescent="0.25">
      <c r="A314" s="7">
        <f>A313+dt</f>
        <v>15.15000000000008</v>
      </c>
      <c r="B314" s="8">
        <f t="shared" ca="1" si="48"/>
        <v>4.3779652867810652E-2</v>
      </c>
      <c r="C314" s="8">
        <f ca="1">lambda*(a-B313)*dt</f>
        <v>-4.6844228263100921E-3</v>
      </c>
      <c r="D314" s="8">
        <f ca="1">sigma*SQRT(dt)*_xlfn.NORM.S.INV(RAND())</f>
        <v>1.6198474310198281E-3</v>
      </c>
      <c r="E314" s="8">
        <f t="shared" ca="1" si="49"/>
        <v>-3.064575395290264E-3</v>
      </c>
      <c r="G314" s="8">
        <f t="shared" ca="1" si="50"/>
        <v>5.7260434009708332</v>
      </c>
      <c r="H314" s="8">
        <f>mu*dt</f>
        <v>2.5000000000000005E-3</v>
      </c>
      <c r="I314" s="8">
        <f t="shared" ca="1" si="51"/>
        <v>1.6198474310198281E-3</v>
      </c>
      <c r="J314" s="8">
        <f t="shared" ca="1" si="52"/>
        <v>4.1198474310198286E-3</v>
      </c>
      <c r="L314" s="8">
        <f t="shared" ca="1" si="53"/>
        <v>10.153304649312222</v>
      </c>
      <c r="M314" s="8">
        <f ca="1">mu*L313*dt</f>
        <v>2.5279115524130022E-2</v>
      </c>
      <c r="N314" s="8">
        <f t="shared" ca="1" si="54"/>
        <v>1.6379324136086185E-2</v>
      </c>
      <c r="O314" s="8">
        <f t="shared" ca="1" si="55"/>
        <v>4.1658439660216207E-2</v>
      </c>
      <c r="Q314" s="7">
        <f t="shared" si="56"/>
        <v>15.15000000000008</v>
      </c>
      <c r="R314" s="8">
        <f t="shared" ca="1" si="57"/>
        <v>4.3779652867810652E-2</v>
      </c>
      <c r="S314" s="8">
        <f t="shared" ca="1" si="58"/>
        <v>5.7260434009708332</v>
      </c>
      <c r="T314" s="8">
        <f t="shared" ca="1" si="59"/>
        <v>10.153304649312222</v>
      </c>
    </row>
    <row r="315" spans="1:20" x14ac:dyDescent="0.25">
      <c r="A315" s="7">
        <f>A314+dt</f>
        <v>15.200000000000081</v>
      </c>
      <c r="B315" s="8">
        <f t="shared" ca="1" si="48"/>
        <v>3.2293314876347422E-2</v>
      </c>
      <c r="C315" s="8">
        <f ca="1">lambda*(a-B314)*dt</f>
        <v>-4.3779652867810652E-3</v>
      </c>
      <c r="D315" s="8">
        <f ca="1">sigma*SQRT(dt)*_xlfn.NORM.S.INV(RAND())</f>
        <v>-7.1083727046821659E-3</v>
      </c>
      <c r="E315" s="8">
        <f t="shared" ca="1" si="49"/>
        <v>-1.148633799146323E-2</v>
      </c>
      <c r="G315" s="8">
        <f t="shared" ca="1" si="50"/>
        <v>5.7214350282661508</v>
      </c>
      <c r="H315" s="8">
        <f>mu*dt</f>
        <v>2.5000000000000005E-3</v>
      </c>
      <c r="I315" s="8">
        <f t="shared" ca="1" si="51"/>
        <v>-7.1083727046821659E-3</v>
      </c>
      <c r="J315" s="8">
        <f t="shared" ca="1" si="52"/>
        <v>-4.6083727046821654E-3</v>
      </c>
      <c r="L315" s="8">
        <f t="shared" ca="1" si="53"/>
        <v>10.106514437304009</v>
      </c>
      <c r="M315" s="8">
        <f ca="1">mu*L314*dt</f>
        <v>2.5383261623280556E-2</v>
      </c>
      <c r="N315" s="8">
        <f t="shared" ca="1" si="54"/>
        <v>-7.2173473631493526E-2</v>
      </c>
      <c r="O315" s="8">
        <f t="shared" ca="1" si="55"/>
        <v>-4.679021200821297E-2</v>
      </c>
      <c r="Q315" s="7">
        <f t="shared" si="56"/>
        <v>15.200000000000081</v>
      </c>
      <c r="R315" s="8">
        <f t="shared" ca="1" si="57"/>
        <v>3.2293314876347422E-2</v>
      </c>
      <c r="S315" s="8">
        <f t="shared" ca="1" si="58"/>
        <v>5.7214350282661508</v>
      </c>
      <c r="T315" s="8">
        <f t="shared" ca="1" si="59"/>
        <v>10.106514437304009</v>
      </c>
    </row>
    <row r="316" spans="1:20" x14ac:dyDescent="0.25">
      <c r="A316" s="7">
        <f>A315+dt</f>
        <v>15.250000000000082</v>
      </c>
      <c r="B316" s="8">
        <f t="shared" ca="1" si="48"/>
        <v>3.1039266706457007E-2</v>
      </c>
      <c r="C316" s="8">
        <f ca="1">lambda*(a-B315)*dt</f>
        <v>-3.2293314876347423E-3</v>
      </c>
      <c r="D316" s="8">
        <f ca="1">sigma*SQRT(dt)*_xlfn.NORM.S.INV(RAND())</f>
        <v>1.9752833177443256E-3</v>
      </c>
      <c r="E316" s="8">
        <f t="shared" ca="1" si="49"/>
        <v>-1.2540481698904166E-3</v>
      </c>
      <c r="G316" s="8">
        <f t="shared" ca="1" si="50"/>
        <v>5.7259103115838954</v>
      </c>
      <c r="H316" s="8">
        <f>mu*dt</f>
        <v>2.5000000000000005E-3</v>
      </c>
      <c r="I316" s="8">
        <f t="shared" ca="1" si="51"/>
        <v>1.9752833177443256E-3</v>
      </c>
      <c r="J316" s="8">
        <f t="shared" ca="1" si="52"/>
        <v>4.4752833177443257E-3</v>
      </c>
      <c r="L316" s="8">
        <f t="shared" ca="1" si="53"/>
        <v>10.151743952765818</v>
      </c>
      <c r="M316" s="8">
        <f ca="1">mu*L315*dt</f>
        <v>2.5266286093260024E-2</v>
      </c>
      <c r="N316" s="8">
        <f t="shared" ca="1" si="54"/>
        <v>1.9963229368548788E-2</v>
      </c>
      <c r="O316" s="8">
        <f t="shared" ca="1" si="55"/>
        <v>4.5229515461808811E-2</v>
      </c>
      <c r="Q316" s="7">
        <f t="shared" si="56"/>
        <v>15.250000000000082</v>
      </c>
      <c r="R316" s="8">
        <f t="shared" ca="1" si="57"/>
        <v>3.1039266706457007E-2</v>
      </c>
      <c r="S316" s="8">
        <f t="shared" ca="1" si="58"/>
        <v>5.7259103115838954</v>
      </c>
      <c r="T316" s="8">
        <f t="shared" ca="1" si="59"/>
        <v>10.151743952765818</v>
      </c>
    </row>
    <row r="317" spans="1:20" x14ac:dyDescent="0.25">
      <c r="A317" s="7">
        <f>A316+dt</f>
        <v>15.300000000000082</v>
      </c>
      <c r="B317" s="8">
        <f t="shared" ca="1" si="48"/>
        <v>5.6066758708884876E-2</v>
      </c>
      <c r="C317" s="8">
        <f ca="1">lambda*(a-B316)*dt</f>
        <v>-3.1039266706457008E-3</v>
      </c>
      <c r="D317" s="8">
        <f ca="1">sigma*SQRT(dt)*_xlfn.NORM.S.INV(RAND())</f>
        <v>2.8131418673073574E-2</v>
      </c>
      <c r="E317" s="8">
        <f t="shared" ca="1" si="49"/>
        <v>2.5027492002427872E-2</v>
      </c>
      <c r="G317" s="8">
        <f t="shared" ca="1" si="50"/>
        <v>5.756541730256969</v>
      </c>
      <c r="H317" s="8">
        <f>mu*dt</f>
        <v>2.5000000000000005E-3</v>
      </c>
      <c r="I317" s="8">
        <f t="shared" ca="1" si="51"/>
        <v>2.8131418673073574E-2</v>
      </c>
      <c r="J317" s="8">
        <f t="shared" ca="1" si="52"/>
        <v>3.0631418673073577E-2</v>
      </c>
      <c r="L317" s="8">
        <f t="shared" ca="1" si="53"/>
        <v>10.46270627204483</v>
      </c>
      <c r="M317" s="8">
        <f ca="1">mu*L316*dt</f>
        <v>2.5379359881914549E-2</v>
      </c>
      <c r="N317" s="8">
        <f t="shared" ca="1" si="54"/>
        <v>0.28558295939709805</v>
      </c>
      <c r="O317" s="8">
        <f t="shared" ca="1" si="55"/>
        <v>0.31096231927901258</v>
      </c>
      <c r="Q317" s="7">
        <f t="shared" si="56"/>
        <v>15.300000000000082</v>
      </c>
      <c r="R317" s="8">
        <f t="shared" ca="1" si="57"/>
        <v>5.6066758708884876E-2</v>
      </c>
      <c r="S317" s="8">
        <f t="shared" ca="1" si="58"/>
        <v>5.756541730256969</v>
      </c>
      <c r="T317" s="8">
        <f t="shared" ca="1" si="59"/>
        <v>10.46270627204483</v>
      </c>
    </row>
    <row r="318" spans="1:20" x14ac:dyDescent="0.25">
      <c r="A318" s="7">
        <f>A317+dt</f>
        <v>15.350000000000083</v>
      </c>
      <c r="B318" s="8">
        <f t="shared" ca="1" si="48"/>
        <v>5.1098673896465392E-2</v>
      </c>
      <c r="C318" s="8">
        <f ca="1">lambda*(a-B317)*dt</f>
        <v>-5.6066758708884883E-3</v>
      </c>
      <c r="D318" s="8">
        <f ca="1">sigma*SQRT(dt)*_xlfn.NORM.S.INV(RAND())</f>
        <v>6.3859105846900415E-4</v>
      </c>
      <c r="E318" s="8">
        <f t="shared" ca="1" si="49"/>
        <v>-4.9680848124194843E-3</v>
      </c>
      <c r="G318" s="8">
        <f t="shared" ca="1" si="50"/>
        <v>5.7596803213154377</v>
      </c>
      <c r="H318" s="8">
        <f>mu*dt</f>
        <v>2.5000000000000005E-3</v>
      </c>
      <c r="I318" s="8">
        <f t="shared" ca="1" si="51"/>
        <v>6.3859105846900415E-4</v>
      </c>
      <c r="J318" s="8">
        <f t="shared" ca="1" si="52"/>
        <v>3.1385910584690044E-3</v>
      </c>
      <c r="L318" s="8">
        <f t="shared" ca="1" si="53"/>
        <v>10.495544428397658</v>
      </c>
      <c r="M318" s="8">
        <f ca="1">mu*L317*dt</f>
        <v>2.6156765680112076E-2</v>
      </c>
      <c r="N318" s="8">
        <f t="shared" ca="1" si="54"/>
        <v>6.6813906727153961E-3</v>
      </c>
      <c r="O318" s="8">
        <f t="shared" ca="1" si="55"/>
        <v>3.2838156352827469E-2</v>
      </c>
      <c r="Q318" s="7">
        <f t="shared" si="56"/>
        <v>15.350000000000083</v>
      </c>
      <c r="R318" s="8">
        <f t="shared" ca="1" si="57"/>
        <v>5.1098673896465392E-2</v>
      </c>
      <c r="S318" s="8">
        <f t="shared" ca="1" si="58"/>
        <v>5.7596803213154377</v>
      </c>
      <c r="T318" s="8">
        <f t="shared" ca="1" si="59"/>
        <v>10.495544428397658</v>
      </c>
    </row>
    <row r="319" spans="1:20" x14ac:dyDescent="0.25">
      <c r="A319" s="7">
        <f>A318+dt</f>
        <v>15.400000000000084</v>
      </c>
      <c r="B319" s="8">
        <f t="shared" ca="1" si="48"/>
        <v>5.5902361738690967E-2</v>
      </c>
      <c r="C319" s="8">
        <f ca="1">lambda*(a-B318)*dt</f>
        <v>-5.1098673896465396E-3</v>
      </c>
      <c r="D319" s="8">
        <f ca="1">sigma*SQRT(dt)*_xlfn.NORM.S.INV(RAND())</f>
        <v>9.9135552318721128E-3</v>
      </c>
      <c r="E319" s="8">
        <f t="shared" ca="1" si="49"/>
        <v>4.8036878422255732E-3</v>
      </c>
      <c r="G319" s="8">
        <f t="shared" ca="1" si="50"/>
        <v>5.7720938765473102</v>
      </c>
      <c r="H319" s="8">
        <f>mu*dt</f>
        <v>2.5000000000000005E-3</v>
      </c>
      <c r="I319" s="8">
        <f t="shared" ca="1" si="51"/>
        <v>9.9135552318721128E-3</v>
      </c>
      <c r="J319" s="8">
        <f t="shared" ca="1" si="52"/>
        <v>1.2413555231872113E-2</v>
      </c>
      <c r="L319" s="8">
        <f t="shared" ca="1" si="53"/>
        <v>10.625831448848139</v>
      </c>
      <c r="M319" s="8">
        <f ca="1">mu*L318*dt</f>
        <v>2.6238861070994147E-2</v>
      </c>
      <c r="N319" s="8">
        <f t="shared" ca="1" si="54"/>
        <v>0.1040481593794878</v>
      </c>
      <c r="O319" s="8">
        <f t="shared" ca="1" si="55"/>
        <v>0.13028702045048196</v>
      </c>
      <c r="Q319" s="7">
        <f t="shared" si="56"/>
        <v>15.400000000000084</v>
      </c>
      <c r="R319" s="8">
        <f t="shared" ca="1" si="57"/>
        <v>5.5902361738690967E-2</v>
      </c>
      <c r="S319" s="8">
        <f t="shared" ca="1" si="58"/>
        <v>5.7720938765473102</v>
      </c>
      <c r="T319" s="8">
        <f t="shared" ca="1" si="59"/>
        <v>10.625831448848139</v>
      </c>
    </row>
    <row r="320" spans="1:20" x14ac:dyDescent="0.25">
      <c r="A320" s="7">
        <f>A319+dt</f>
        <v>15.450000000000085</v>
      </c>
      <c r="B320" s="8">
        <f t="shared" ca="1" si="48"/>
        <v>8.5872118597049324E-2</v>
      </c>
      <c r="C320" s="8">
        <f ca="1">lambda*(a-B319)*dt</f>
        <v>-5.5902361738690972E-3</v>
      </c>
      <c r="D320" s="8">
        <f ca="1">sigma*SQRT(dt)*_xlfn.NORM.S.INV(RAND())</f>
        <v>3.5559993032227455E-2</v>
      </c>
      <c r="E320" s="8">
        <f t="shared" ca="1" si="49"/>
        <v>2.9969756858358357E-2</v>
      </c>
      <c r="G320" s="8">
        <f t="shared" ca="1" si="50"/>
        <v>5.8101538695795378</v>
      </c>
      <c r="H320" s="8">
        <f>mu*dt</f>
        <v>2.5000000000000005E-3</v>
      </c>
      <c r="I320" s="8">
        <f t="shared" ca="1" si="51"/>
        <v>3.5559993032227455E-2</v>
      </c>
      <c r="J320" s="8">
        <f t="shared" ca="1" si="52"/>
        <v>3.8059993032227457E-2</v>
      </c>
      <c r="L320" s="8">
        <f t="shared" ca="1" si="53"/>
        <v>11.030250519752922</v>
      </c>
      <c r="M320" s="8">
        <f ca="1">mu*L319*dt</f>
        <v>2.656457862212035E-2</v>
      </c>
      <c r="N320" s="8">
        <f t="shared" ca="1" si="54"/>
        <v>0.37785449228266316</v>
      </c>
      <c r="O320" s="8">
        <f t="shared" ca="1" si="55"/>
        <v>0.40441907090478352</v>
      </c>
      <c r="Q320" s="7">
        <f t="shared" si="56"/>
        <v>15.450000000000085</v>
      </c>
      <c r="R320" s="8">
        <f t="shared" ca="1" si="57"/>
        <v>8.5872118597049324E-2</v>
      </c>
      <c r="S320" s="8">
        <f t="shared" ca="1" si="58"/>
        <v>5.8101538695795378</v>
      </c>
      <c r="T320" s="8">
        <f t="shared" ca="1" si="59"/>
        <v>11.030250519752922</v>
      </c>
    </row>
    <row r="321" spans="1:20" x14ac:dyDescent="0.25">
      <c r="A321" s="7">
        <f>A320+dt</f>
        <v>15.500000000000085</v>
      </c>
      <c r="B321" s="8">
        <f t="shared" ca="1" si="48"/>
        <v>6.9831278762099297E-2</v>
      </c>
      <c r="C321" s="8">
        <f ca="1">lambda*(a-B320)*dt</f>
        <v>-8.5872118597049331E-3</v>
      </c>
      <c r="D321" s="8">
        <f ca="1">sigma*SQRT(dt)*_xlfn.NORM.S.INV(RAND())</f>
        <v>-7.4536279752450991E-3</v>
      </c>
      <c r="E321" s="8">
        <f t="shared" ca="1" si="49"/>
        <v>-1.6040839834950034E-2</v>
      </c>
      <c r="G321" s="8">
        <f t="shared" ca="1" si="50"/>
        <v>5.8052002416042932</v>
      </c>
      <c r="H321" s="8">
        <f>mu*dt</f>
        <v>2.5000000000000005E-3</v>
      </c>
      <c r="I321" s="8">
        <f t="shared" ca="1" si="51"/>
        <v>-7.4536279752450991E-3</v>
      </c>
      <c r="J321" s="8">
        <f t="shared" ca="1" si="52"/>
        <v>-4.9536279752450986E-3</v>
      </c>
      <c r="L321" s="8">
        <f t="shared" ca="1" si="53"/>
        <v>10.975610762204312</v>
      </c>
      <c r="M321" s="8">
        <f ca="1">mu*L320*dt</f>
        <v>2.7575626299382306E-2</v>
      </c>
      <c r="N321" s="8">
        <f t="shared" ca="1" si="54"/>
        <v>-8.2215383847992179E-2</v>
      </c>
      <c r="O321" s="8">
        <f t="shared" ca="1" si="55"/>
        <v>-5.4639757548609877E-2</v>
      </c>
      <c r="Q321" s="7">
        <f t="shared" si="56"/>
        <v>15.500000000000085</v>
      </c>
      <c r="R321" s="8">
        <f t="shared" ca="1" si="57"/>
        <v>6.9831278762099297E-2</v>
      </c>
      <c r="S321" s="8">
        <f t="shared" ca="1" si="58"/>
        <v>5.8052002416042932</v>
      </c>
      <c r="T321" s="8">
        <f t="shared" ca="1" si="59"/>
        <v>10.975610762204312</v>
      </c>
    </row>
    <row r="322" spans="1:20" x14ac:dyDescent="0.25">
      <c r="A322" s="7">
        <f>A321+dt</f>
        <v>15.550000000000086</v>
      </c>
      <c r="B322" s="8">
        <f t="shared" ca="1" si="48"/>
        <v>6.8708408839116192E-2</v>
      </c>
      <c r="C322" s="8">
        <f ca="1">lambda*(a-B321)*dt</f>
        <v>-6.9831278762099297E-3</v>
      </c>
      <c r="D322" s="8">
        <f ca="1">sigma*SQRT(dt)*_xlfn.NORM.S.INV(RAND())</f>
        <v>5.8602579532268211E-3</v>
      </c>
      <c r="E322" s="8">
        <f t="shared" ca="1" si="49"/>
        <v>-1.1228699229831086E-3</v>
      </c>
      <c r="G322" s="8">
        <f t="shared" ca="1" si="50"/>
        <v>5.8135604995575196</v>
      </c>
      <c r="H322" s="8">
        <f>mu*dt</f>
        <v>2.5000000000000005E-3</v>
      </c>
      <c r="I322" s="8">
        <f t="shared" ca="1" si="51"/>
        <v>5.8602579532268211E-3</v>
      </c>
      <c r="J322" s="8">
        <f t="shared" ca="1" si="52"/>
        <v>8.3602579532268215E-3</v>
      </c>
      <c r="L322" s="8">
        <f t="shared" ca="1" si="53"/>
        <v>11.067369699370552</v>
      </c>
      <c r="M322" s="8">
        <f ca="1">mu*L321*dt</f>
        <v>2.7439026905510783E-2</v>
      </c>
      <c r="N322" s="8">
        <f t="shared" ca="1" si="54"/>
        <v>6.431991026072971E-2</v>
      </c>
      <c r="O322" s="8">
        <f t="shared" ca="1" si="55"/>
        <v>9.1758937166240492E-2</v>
      </c>
      <c r="Q322" s="7">
        <f t="shared" si="56"/>
        <v>15.550000000000086</v>
      </c>
      <c r="R322" s="8">
        <f t="shared" ca="1" si="57"/>
        <v>6.8708408839116192E-2</v>
      </c>
      <c r="S322" s="8">
        <f t="shared" ca="1" si="58"/>
        <v>5.8135604995575196</v>
      </c>
      <c r="T322" s="8">
        <f t="shared" ca="1" si="59"/>
        <v>11.067369699370552</v>
      </c>
    </row>
    <row r="323" spans="1:20" x14ac:dyDescent="0.25">
      <c r="A323" s="7">
        <f>A322+dt</f>
        <v>15.600000000000087</v>
      </c>
      <c r="B323" s="8">
        <f t="shared" ca="1" si="48"/>
        <v>7.7250123624762038E-2</v>
      </c>
      <c r="C323" s="8">
        <f ca="1">lambda*(a-B322)*dt</f>
        <v>-6.8708408839116197E-3</v>
      </c>
      <c r="D323" s="8">
        <f ca="1">sigma*SQRT(dt)*_xlfn.NORM.S.INV(RAND())</f>
        <v>1.5412555669557461E-2</v>
      </c>
      <c r="E323" s="8">
        <f t="shared" ca="1" si="49"/>
        <v>8.5417147856458424E-3</v>
      </c>
      <c r="G323" s="8">
        <f t="shared" ca="1" si="50"/>
        <v>5.831473055227077</v>
      </c>
      <c r="H323" s="8">
        <f>mu*dt</f>
        <v>2.5000000000000005E-3</v>
      </c>
      <c r="I323" s="8">
        <f t="shared" ca="1" si="51"/>
        <v>1.5412555669557461E-2</v>
      </c>
      <c r="J323" s="8">
        <f t="shared" ca="1" si="52"/>
        <v>1.7912555669557462E-2</v>
      </c>
      <c r="L323" s="8">
        <f t="shared" ca="1" si="53"/>
        <v>11.265614575226101</v>
      </c>
      <c r="M323" s="8">
        <f ca="1">mu*L322*dt</f>
        <v>2.7668424248426384E-2</v>
      </c>
      <c r="N323" s="8">
        <f t="shared" ca="1" si="54"/>
        <v>0.17057645160712206</v>
      </c>
      <c r="O323" s="8">
        <f t="shared" ca="1" si="55"/>
        <v>0.19824487585554845</v>
      </c>
      <c r="Q323" s="7">
        <f t="shared" si="56"/>
        <v>15.600000000000087</v>
      </c>
      <c r="R323" s="8">
        <f t="shared" ca="1" si="57"/>
        <v>7.7250123624762038E-2</v>
      </c>
      <c r="S323" s="8">
        <f t="shared" ca="1" si="58"/>
        <v>5.831473055227077</v>
      </c>
      <c r="T323" s="8">
        <f t="shared" ca="1" si="59"/>
        <v>11.265614575226101</v>
      </c>
    </row>
    <row r="324" spans="1:20" x14ac:dyDescent="0.25">
      <c r="A324" s="7">
        <f>A323+dt</f>
        <v>15.650000000000087</v>
      </c>
      <c r="B324" s="8">
        <f t="shared" ca="1" si="48"/>
        <v>7.4889104393939893E-2</v>
      </c>
      <c r="C324" s="8">
        <f ca="1">lambda*(a-B323)*dt</f>
        <v>-7.7250123624762043E-3</v>
      </c>
      <c r="D324" s="8">
        <f ca="1">sigma*SQRT(dt)*_xlfn.NORM.S.INV(RAND())</f>
        <v>5.3639931316540644E-3</v>
      </c>
      <c r="E324" s="8">
        <f t="shared" ca="1" si="49"/>
        <v>-2.3610192308221398E-3</v>
      </c>
      <c r="G324" s="8">
        <f t="shared" ca="1" si="50"/>
        <v>5.8393370483587308</v>
      </c>
      <c r="H324" s="8">
        <f>mu*dt</f>
        <v>2.5000000000000005E-3</v>
      </c>
      <c r="I324" s="8">
        <f t="shared" ca="1" si="51"/>
        <v>5.3639931316540644E-3</v>
      </c>
      <c r="J324" s="8">
        <f t="shared" ca="1" si="52"/>
        <v>7.8639931316540658E-3</v>
      </c>
      <c r="L324" s="8">
        <f t="shared" ca="1" si="53"/>
        <v>11.354207290869541</v>
      </c>
      <c r="M324" s="8">
        <f ca="1">mu*L323*dt</f>
        <v>2.8164036438065254E-2</v>
      </c>
      <c r="N324" s="8">
        <f t="shared" ca="1" si="54"/>
        <v>6.0428679205374723E-2</v>
      </c>
      <c r="O324" s="8">
        <f t="shared" ca="1" si="55"/>
        <v>8.8592715643439984E-2</v>
      </c>
      <c r="Q324" s="7">
        <f t="shared" si="56"/>
        <v>15.650000000000087</v>
      </c>
      <c r="R324" s="8">
        <f t="shared" ca="1" si="57"/>
        <v>7.4889104393939893E-2</v>
      </c>
      <c r="S324" s="8">
        <f t="shared" ca="1" si="58"/>
        <v>5.8393370483587308</v>
      </c>
      <c r="T324" s="8">
        <f t="shared" ca="1" si="59"/>
        <v>11.354207290869541</v>
      </c>
    </row>
    <row r="325" spans="1:20" x14ac:dyDescent="0.25">
      <c r="A325" s="7">
        <f>A324+dt</f>
        <v>15.700000000000088</v>
      </c>
      <c r="B325" s="8">
        <f t="shared" ca="1" si="48"/>
        <v>6.6818572839809215E-2</v>
      </c>
      <c r="C325" s="8">
        <f ca="1">lambda*(a-B324)*dt</f>
        <v>-7.4889104393939896E-3</v>
      </c>
      <c r="D325" s="8">
        <f ca="1">sigma*SQRT(dt)*_xlfn.NORM.S.INV(RAND())</f>
        <v>-5.8162111473668266E-4</v>
      </c>
      <c r="E325" s="8">
        <f t="shared" ca="1" si="49"/>
        <v>-8.0705315541306725E-3</v>
      </c>
      <c r="G325" s="8">
        <f t="shared" ca="1" si="50"/>
        <v>5.8412554272439943</v>
      </c>
      <c r="H325" s="8">
        <f>mu*dt</f>
        <v>2.5000000000000005E-3</v>
      </c>
      <c r="I325" s="8">
        <f t="shared" ca="1" si="51"/>
        <v>-5.8162111473668266E-4</v>
      </c>
      <c r="J325" s="8">
        <f t="shared" ca="1" si="52"/>
        <v>1.9183788852633178E-3</v>
      </c>
      <c r="L325" s="8">
        <f t="shared" ca="1" si="53"/>
        <v>11.375988962395247</v>
      </c>
      <c r="M325" s="8">
        <f ca="1">mu*L324*dt</f>
        <v>2.8385518227173851E-2</v>
      </c>
      <c r="N325" s="8">
        <f t="shared" ca="1" si="54"/>
        <v>-6.6038467014669115E-3</v>
      </c>
      <c r="O325" s="8">
        <f t="shared" ca="1" si="55"/>
        <v>2.1781671525706939E-2</v>
      </c>
      <c r="Q325" s="7">
        <f t="shared" si="56"/>
        <v>15.700000000000088</v>
      </c>
      <c r="R325" s="8">
        <f t="shared" ca="1" si="57"/>
        <v>6.6818572839809215E-2</v>
      </c>
      <c r="S325" s="8">
        <f t="shared" ca="1" si="58"/>
        <v>5.8412554272439943</v>
      </c>
      <c r="T325" s="8">
        <f t="shared" ca="1" si="59"/>
        <v>11.375988962395247</v>
      </c>
    </row>
    <row r="326" spans="1:20" x14ac:dyDescent="0.25">
      <c r="A326" s="7">
        <f>A325+dt</f>
        <v>15.750000000000089</v>
      </c>
      <c r="B326" s="8">
        <f t="shared" ca="1" si="48"/>
        <v>5.8355734259820422E-2</v>
      </c>
      <c r="C326" s="8">
        <f ca="1">lambda*(a-B325)*dt</f>
        <v>-6.6818572839809215E-3</v>
      </c>
      <c r="D326" s="8">
        <f ca="1">sigma*SQRT(dt)*_xlfn.NORM.S.INV(RAND())</f>
        <v>-1.780981296007871E-3</v>
      </c>
      <c r="E326" s="8">
        <f t="shared" ca="1" si="49"/>
        <v>-8.4628385799887934E-3</v>
      </c>
      <c r="G326" s="8">
        <f t="shared" ca="1" si="50"/>
        <v>5.8419744459479865</v>
      </c>
      <c r="H326" s="8">
        <f>mu*dt</f>
        <v>2.5000000000000005E-3</v>
      </c>
      <c r="I326" s="8">
        <f t="shared" ca="1" si="51"/>
        <v>-1.780981296007871E-3</v>
      </c>
      <c r="J326" s="8">
        <f t="shared" ca="1" si="52"/>
        <v>7.1901870399212944E-4</v>
      </c>
      <c r="L326" s="8">
        <f t="shared" ca="1" si="53"/>
        <v>11.384168511235618</v>
      </c>
      <c r="M326" s="8">
        <f ca="1">mu*L325*dt</f>
        <v>2.8439972405988119E-2</v>
      </c>
      <c r="N326" s="8">
        <f t="shared" ca="1" si="54"/>
        <v>-2.0260423565617924E-2</v>
      </c>
      <c r="O326" s="8">
        <f t="shared" ca="1" si="55"/>
        <v>8.1795488403701953E-3</v>
      </c>
      <c r="Q326" s="7">
        <f t="shared" si="56"/>
        <v>15.750000000000089</v>
      </c>
      <c r="R326" s="8">
        <f t="shared" ca="1" si="57"/>
        <v>5.8355734259820422E-2</v>
      </c>
      <c r="S326" s="8">
        <f t="shared" ca="1" si="58"/>
        <v>5.8419744459479865</v>
      </c>
      <c r="T326" s="8">
        <f t="shared" ca="1" si="59"/>
        <v>11.384168511235618</v>
      </c>
    </row>
    <row r="327" spans="1:20" x14ac:dyDescent="0.25">
      <c r="A327" s="7">
        <f>A326+dt</f>
        <v>15.80000000000009</v>
      </c>
      <c r="B327" s="8">
        <f t="shared" ca="1" si="48"/>
        <v>4.2466251442122356E-2</v>
      </c>
      <c r="C327" s="8">
        <f ca="1">lambda*(a-B326)*dt</f>
        <v>-5.8355734259820423E-3</v>
      </c>
      <c r="D327" s="8">
        <f ca="1">sigma*SQRT(dt)*_xlfn.NORM.S.INV(RAND())</f>
        <v>-1.0053909391716024E-2</v>
      </c>
      <c r="E327" s="8">
        <f t="shared" ca="1" si="49"/>
        <v>-1.5889482817698065E-2</v>
      </c>
      <c r="G327" s="8">
        <f t="shared" ca="1" si="50"/>
        <v>5.8344205365562702</v>
      </c>
      <c r="H327" s="8">
        <f>mu*dt</f>
        <v>2.5000000000000005E-3</v>
      </c>
      <c r="I327" s="8">
        <f t="shared" ca="1" si="51"/>
        <v>-1.0053909391716024E-2</v>
      </c>
      <c r="J327" s="8">
        <f t="shared" ca="1" si="52"/>
        <v>-7.5539093917160235E-3</v>
      </c>
      <c r="L327" s="8">
        <f t="shared" ca="1" si="53"/>
        <v>11.298173533801718</v>
      </c>
      <c r="M327" s="8">
        <f ca="1">mu*L326*dt</f>
        <v>2.8460421278089051E-2</v>
      </c>
      <c r="N327" s="8">
        <f t="shared" ca="1" si="54"/>
        <v>-0.11445539871198961</v>
      </c>
      <c r="O327" s="8">
        <f t="shared" ca="1" si="55"/>
        <v>-8.5994977433900555E-2</v>
      </c>
      <c r="Q327" s="7">
        <f t="shared" si="56"/>
        <v>15.80000000000009</v>
      </c>
      <c r="R327" s="8">
        <f t="shared" ca="1" si="57"/>
        <v>4.2466251442122356E-2</v>
      </c>
      <c r="S327" s="8">
        <f t="shared" ca="1" si="58"/>
        <v>5.8344205365562702</v>
      </c>
      <c r="T327" s="8">
        <f t="shared" ca="1" si="59"/>
        <v>11.298173533801718</v>
      </c>
    </row>
    <row r="328" spans="1:20" x14ac:dyDescent="0.25">
      <c r="A328" s="7">
        <f>A327+dt</f>
        <v>15.85000000000009</v>
      </c>
      <c r="B328" s="8">
        <f t="shared" ca="1" si="48"/>
        <v>4.1959008605252271E-2</v>
      </c>
      <c r="C328" s="8">
        <f ca="1">lambda*(a-B327)*dt</f>
        <v>-4.2466251442122354E-3</v>
      </c>
      <c r="D328" s="8">
        <f ca="1">sigma*SQRT(dt)*_xlfn.NORM.S.INV(RAND())</f>
        <v>3.739382307342149E-3</v>
      </c>
      <c r="E328" s="8">
        <f t="shared" ca="1" si="49"/>
        <v>-5.0724283687008645E-4</v>
      </c>
      <c r="G328" s="8">
        <f t="shared" ca="1" si="50"/>
        <v>5.8406599188636124</v>
      </c>
      <c r="H328" s="8">
        <f>mu*dt</f>
        <v>2.5000000000000005E-3</v>
      </c>
      <c r="I328" s="8">
        <f t="shared" ca="1" si="51"/>
        <v>3.739382307342149E-3</v>
      </c>
      <c r="J328" s="8">
        <f t="shared" ca="1" si="52"/>
        <v>6.2393823073421499E-3</v>
      </c>
      <c r="L328" s="8">
        <f t="shared" ca="1" si="53"/>
        <v>11.368667157853801</v>
      </c>
      <c r="M328" s="8">
        <f ca="1">mu*L327*dt</f>
        <v>2.8245433834504299E-2</v>
      </c>
      <c r="N328" s="8">
        <f t="shared" ca="1" si="54"/>
        <v>4.2248190217579466E-2</v>
      </c>
      <c r="O328" s="8">
        <f t="shared" ca="1" si="55"/>
        <v>7.0493624052083759E-2</v>
      </c>
      <c r="Q328" s="7">
        <f t="shared" si="56"/>
        <v>15.85000000000009</v>
      </c>
      <c r="R328" s="8">
        <f t="shared" ca="1" si="57"/>
        <v>4.1959008605252271E-2</v>
      </c>
      <c r="S328" s="8">
        <f t="shared" ca="1" si="58"/>
        <v>5.8406599188636124</v>
      </c>
      <c r="T328" s="8">
        <f t="shared" ca="1" si="59"/>
        <v>11.368667157853801</v>
      </c>
    </row>
    <row r="329" spans="1:20" x14ac:dyDescent="0.25">
      <c r="A329" s="7">
        <f>A328+dt</f>
        <v>15.900000000000091</v>
      </c>
      <c r="B329" s="8">
        <f t="shared" ca="1" si="48"/>
        <v>4.360908603431049E-2</v>
      </c>
      <c r="C329" s="8">
        <f ca="1">lambda*(a-B328)*dt</f>
        <v>-4.1959008605252273E-3</v>
      </c>
      <c r="D329" s="8">
        <f ca="1">sigma*SQRT(dt)*_xlfn.NORM.S.INV(RAND())</f>
        <v>5.8459782895834466E-3</v>
      </c>
      <c r="E329" s="8">
        <f t="shared" ca="1" si="49"/>
        <v>1.6500774290582193E-3</v>
      </c>
      <c r="G329" s="8">
        <f t="shared" ca="1" si="50"/>
        <v>5.8490058971531962</v>
      </c>
      <c r="H329" s="8">
        <f>mu*dt</f>
        <v>2.5000000000000005E-3</v>
      </c>
      <c r="I329" s="8">
        <f t="shared" ca="1" si="51"/>
        <v>5.8459782895834466E-3</v>
      </c>
      <c r="J329" s="8">
        <f t="shared" ca="1" si="52"/>
        <v>8.3459782895834479E-3</v>
      </c>
      <c r="L329" s="8">
        <f t="shared" ca="1" si="53"/>
        <v>11.463549807134749</v>
      </c>
      <c r="M329" s="8">
        <f ca="1">mu*L328*dt</f>
        <v>2.8421667894634507E-2</v>
      </c>
      <c r="N329" s="8">
        <f t="shared" ca="1" si="54"/>
        <v>6.6460981386313664E-2</v>
      </c>
      <c r="O329" s="8">
        <f t="shared" ca="1" si="55"/>
        <v>9.4882649280948167E-2</v>
      </c>
      <c r="Q329" s="7">
        <f t="shared" si="56"/>
        <v>15.900000000000091</v>
      </c>
      <c r="R329" s="8">
        <f t="shared" ca="1" si="57"/>
        <v>4.360908603431049E-2</v>
      </c>
      <c r="S329" s="8">
        <f t="shared" ca="1" si="58"/>
        <v>5.8490058971531962</v>
      </c>
      <c r="T329" s="8">
        <f t="shared" ca="1" si="59"/>
        <v>11.463549807134749</v>
      </c>
    </row>
    <row r="330" spans="1:20" x14ac:dyDescent="0.25">
      <c r="A330" s="7">
        <f>A329+dt</f>
        <v>15.950000000000092</v>
      </c>
      <c r="B330" s="8">
        <f t="shared" ca="1" si="48"/>
        <v>3.8098638864881448E-2</v>
      </c>
      <c r="C330" s="8">
        <f ca="1">lambda*(a-B329)*dt</f>
        <v>-4.3609086034310492E-3</v>
      </c>
      <c r="D330" s="8">
        <f ca="1">sigma*SQRT(dt)*_xlfn.NORM.S.INV(RAND())</f>
        <v>-1.1495385659979931E-3</v>
      </c>
      <c r="E330" s="8">
        <f t="shared" ca="1" si="49"/>
        <v>-5.5104471694290419E-3</v>
      </c>
      <c r="G330" s="8">
        <f t="shared" ca="1" si="50"/>
        <v>5.8503563585871978</v>
      </c>
      <c r="H330" s="8">
        <f>mu*dt</f>
        <v>2.5000000000000005E-3</v>
      </c>
      <c r="I330" s="8">
        <f t="shared" ca="1" si="51"/>
        <v>-1.1495385659979931E-3</v>
      </c>
      <c r="J330" s="8">
        <f t="shared" ca="1" si="52"/>
        <v>1.3504614340020074E-3</v>
      </c>
      <c r="L330" s="8">
        <f t="shared" ca="1" si="53"/>
        <v>11.479030889046046</v>
      </c>
      <c r="M330" s="8">
        <f ca="1">mu*L329*dt</f>
        <v>2.8658874517836875E-2</v>
      </c>
      <c r="N330" s="8">
        <f t="shared" ca="1" si="54"/>
        <v>-1.3177792606540249E-2</v>
      </c>
      <c r="O330" s="8">
        <f t="shared" ca="1" si="55"/>
        <v>1.5481081911296626E-2</v>
      </c>
      <c r="Q330" s="7">
        <f t="shared" si="56"/>
        <v>15.950000000000092</v>
      </c>
      <c r="R330" s="8">
        <f t="shared" ca="1" si="57"/>
        <v>3.8098638864881448E-2</v>
      </c>
      <c r="S330" s="8">
        <f t="shared" ca="1" si="58"/>
        <v>5.8503563585871978</v>
      </c>
      <c r="T330" s="8">
        <f t="shared" ca="1" si="59"/>
        <v>11.479030889046046</v>
      </c>
    </row>
    <row r="331" spans="1:20" x14ac:dyDescent="0.25">
      <c r="A331" s="7">
        <f>A330+dt</f>
        <v>16.000000000000092</v>
      </c>
      <c r="B331" s="8">
        <f t="shared" ca="1" si="48"/>
        <v>2.8493694109821457E-2</v>
      </c>
      <c r="C331" s="8">
        <f ca="1">lambda*(a-B330)*dt</f>
        <v>-3.8098638864881452E-3</v>
      </c>
      <c r="D331" s="8">
        <f ca="1">sigma*SQRT(dt)*_xlfn.NORM.S.INV(RAND())</f>
        <v>-5.7950808685718457E-3</v>
      </c>
      <c r="E331" s="8">
        <f t="shared" ca="1" si="49"/>
        <v>-9.6049447550599909E-3</v>
      </c>
      <c r="G331" s="8">
        <f t="shared" ca="1" si="50"/>
        <v>5.8470612777186259</v>
      </c>
      <c r="H331" s="8">
        <f>mu*dt</f>
        <v>2.5000000000000005E-3</v>
      </c>
      <c r="I331" s="8">
        <f t="shared" ca="1" si="51"/>
        <v>-5.7950808685718457E-3</v>
      </c>
      <c r="J331" s="8">
        <f t="shared" ca="1" si="52"/>
        <v>-3.2950808685718452E-3</v>
      </c>
      <c r="L331" s="8">
        <f t="shared" ca="1" si="53"/>
        <v>11.441206553973805</v>
      </c>
      <c r="M331" s="8">
        <f ca="1">mu*L330*dt</f>
        <v>2.8697577222615119E-2</v>
      </c>
      <c r="N331" s="8">
        <f t="shared" ca="1" si="54"/>
        <v>-6.6521912294856003E-2</v>
      </c>
      <c r="O331" s="8">
        <f t="shared" ca="1" si="55"/>
        <v>-3.7824335072240881E-2</v>
      </c>
      <c r="Q331" s="7">
        <f t="shared" si="56"/>
        <v>16.000000000000092</v>
      </c>
      <c r="R331" s="8">
        <f t="shared" ca="1" si="57"/>
        <v>2.8493694109821457E-2</v>
      </c>
      <c r="S331" s="8">
        <f t="shared" ca="1" si="58"/>
        <v>5.8470612777186259</v>
      </c>
      <c r="T331" s="8">
        <f t="shared" ca="1" si="59"/>
        <v>11.441206553973805</v>
      </c>
    </row>
    <row r="332" spans="1:20" x14ac:dyDescent="0.25">
      <c r="A332" s="7">
        <f>A331+dt</f>
        <v>16.050000000000093</v>
      </c>
      <c r="B332" s="8">
        <f t="shared" ca="1" si="48"/>
        <v>2.2379642690827505E-2</v>
      </c>
      <c r="C332" s="8">
        <f ca="1">lambda*(a-B331)*dt</f>
        <v>-2.8493694109821459E-3</v>
      </c>
      <c r="D332" s="8">
        <f ca="1">sigma*SQRT(dt)*_xlfn.NORM.S.INV(RAND())</f>
        <v>-3.2646820080118066E-3</v>
      </c>
      <c r="E332" s="8">
        <f t="shared" ca="1" si="49"/>
        <v>-6.1140514189939529E-3</v>
      </c>
      <c r="G332" s="8">
        <f t="shared" ca="1" si="50"/>
        <v>5.8462965957106139</v>
      </c>
      <c r="H332" s="8">
        <f>mu*dt</f>
        <v>2.5000000000000005E-3</v>
      </c>
      <c r="I332" s="8">
        <f t="shared" ca="1" si="51"/>
        <v>-3.2646820080118066E-3</v>
      </c>
      <c r="J332" s="8">
        <f t="shared" ca="1" si="52"/>
        <v>-7.646820080118061E-4</v>
      </c>
      <c r="L332" s="8">
        <f t="shared" ca="1" si="53"/>
        <v>11.432457669172035</v>
      </c>
      <c r="M332" s="8">
        <f ca="1">mu*L331*dt</f>
        <v>2.8603016384934517E-2</v>
      </c>
      <c r="N332" s="8">
        <f t="shared" ca="1" si="54"/>
        <v>-3.735190118670504E-2</v>
      </c>
      <c r="O332" s="8">
        <f t="shared" ca="1" si="55"/>
        <v>-8.7488848017705234E-3</v>
      </c>
      <c r="Q332" s="7">
        <f t="shared" si="56"/>
        <v>16.050000000000093</v>
      </c>
      <c r="R332" s="8">
        <f t="shared" ca="1" si="57"/>
        <v>2.2379642690827505E-2</v>
      </c>
      <c r="S332" s="8">
        <f t="shared" ca="1" si="58"/>
        <v>5.8462965957106139</v>
      </c>
      <c r="T332" s="8">
        <f t="shared" ca="1" si="59"/>
        <v>11.432457669172035</v>
      </c>
    </row>
    <row r="333" spans="1:20" x14ac:dyDescent="0.25">
      <c r="A333" s="7">
        <f>A332+dt</f>
        <v>16.100000000000094</v>
      </c>
      <c r="B333" s="8">
        <f t="shared" ref="B333:B396" ca="1" si="60">B332+E333</f>
        <v>3.1774245357208235E-2</v>
      </c>
      <c r="C333" s="8">
        <f ca="1">lambda*(a-B332)*dt</f>
        <v>-2.2379642690827507E-3</v>
      </c>
      <c r="D333" s="8">
        <f ca="1">sigma*SQRT(dt)*_xlfn.NORM.S.INV(RAND())</f>
        <v>1.163256693546348E-2</v>
      </c>
      <c r="E333" s="8">
        <f t="shared" ref="E333:E396" ca="1" si="61">C333+D333</f>
        <v>9.3946026663807285E-3</v>
      </c>
      <c r="G333" s="8">
        <f t="shared" ref="G333:G396" ca="1" si="62">G332+J333</f>
        <v>5.8604291626460769</v>
      </c>
      <c r="H333" s="8">
        <f>mu*dt</f>
        <v>2.5000000000000005E-3</v>
      </c>
      <c r="I333" s="8">
        <f t="shared" ref="I333:I396" ca="1" si="63">D333</f>
        <v>1.163256693546348E-2</v>
      </c>
      <c r="J333" s="8">
        <f t="shared" ref="J333:J396" ca="1" si="64">H333+I333</f>
        <v>1.413256693546348E-2</v>
      </c>
      <c r="L333" s="8">
        <f t="shared" ref="L333:L396" ca="1" si="65">L332+O333</f>
        <v>11.59402764241846</v>
      </c>
      <c r="M333" s="8">
        <f ca="1">mu*L332*dt</f>
        <v>2.858114417293009E-2</v>
      </c>
      <c r="N333" s="8">
        <f t="shared" ref="N333:N396" ca="1" si="66">L332*D333</f>
        <v>0.13298882907349649</v>
      </c>
      <c r="O333" s="8">
        <f t="shared" ref="O333:O396" ca="1" si="67">M333+N333</f>
        <v>0.16156997324642658</v>
      </c>
      <c r="Q333" s="7">
        <f t="shared" ref="Q333:Q396" si="68">A333</f>
        <v>16.100000000000094</v>
      </c>
      <c r="R333" s="8">
        <f t="shared" ref="R333:R396" ca="1" si="69">B333</f>
        <v>3.1774245357208235E-2</v>
      </c>
      <c r="S333" s="8">
        <f t="shared" ref="S333:S396" ca="1" si="70">G333</f>
        <v>5.8604291626460769</v>
      </c>
      <c r="T333" s="8">
        <f t="shared" ref="T333:T396" ca="1" si="71">L333</f>
        <v>11.59402764241846</v>
      </c>
    </row>
    <row r="334" spans="1:20" x14ac:dyDescent="0.25">
      <c r="A334" s="7">
        <f>A333+dt</f>
        <v>16.150000000000095</v>
      </c>
      <c r="B334" s="8">
        <f t="shared" ca="1" si="60"/>
        <v>1.553052096749441E-2</v>
      </c>
      <c r="C334" s="8">
        <f ca="1">lambda*(a-B333)*dt</f>
        <v>-3.1774245357208235E-3</v>
      </c>
      <c r="D334" s="8">
        <f ca="1">sigma*SQRT(dt)*_xlfn.NORM.S.INV(RAND())</f>
        <v>-1.3066299853993E-2</v>
      </c>
      <c r="E334" s="8">
        <f t="shared" ca="1" si="61"/>
        <v>-1.6243724389713825E-2</v>
      </c>
      <c r="G334" s="8">
        <f t="shared" ca="1" si="62"/>
        <v>5.8498628627920839</v>
      </c>
      <c r="H334" s="8">
        <f>mu*dt</f>
        <v>2.5000000000000005E-3</v>
      </c>
      <c r="I334" s="8">
        <f t="shared" ca="1" si="63"/>
        <v>-1.3066299853993E-2</v>
      </c>
      <c r="J334" s="8">
        <f t="shared" ca="1" si="64"/>
        <v>-1.0566299853992999E-2</v>
      </c>
      <c r="L334" s="8">
        <f t="shared" ca="1" si="65"/>
        <v>11.471521669833184</v>
      </c>
      <c r="M334" s="8">
        <f ca="1">mu*L333*dt</f>
        <v>2.8985069106046153E-2</v>
      </c>
      <c r="N334" s="8">
        <f t="shared" ca="1" si="66"/>
        <v>-0.15149104169132313</v>
      </c>
      <c r="O334" s="8">
        <f t="shared" ca="1" si="67"/>
        <v>-0.12250597258527698</v>
      </c>
      <c r="Q334" s="7">
        <f t="shared" si="68"/>
        <v>16.150000000000095</v>
      </c>
      <c r="R334" s="8">
        <f t="shared" ca="1" si="69"/>
        <v>1.553052096749441E-2</v>
      </c>
      <c r="S334" s="8">
        <f t="shared" ca="1" si="70"/>
        <v>5.8498628627920839</v>
      </c>
      <c r="T334" s="8">
        <f t="shared" ca="1" si="71"/>
        <v>11.471521669833184</v>
      </c>
    </row>
    <row r="335" spans="1:20" x14ac:dyDescent="0.25">
      <c r="A335" s="7">
        <f>A334+dt</f>
        <v>16.200000000000095</v>
      </c>
      <c r="B335" s="8">
        <f t="shared" ca="1" si="60"/>
        <v>3.429511806307297E-2</v>
      </c>
      <c r="C335" s="8">
        <f ca="1">lambda*(a-B334)*dt</f>
        <v>-1.553052096749441E-3</v>
      </c>
      <c r="D335" s="8">
        <f ca="1">sigma*SQRT(dt)*_xlfn.NORM.S.INV(RAND())</f>
        <v>2.0317649192328001E-2</v>
      </c>
      <c r="E335" s="8">
        <f t="shared" ca="1" si="61"/>
        <v>1.876459709557856E-2</v>
      </c>
      <c r="G335" s="8">
        <f t="shared" ca="1" si="62"/>
        <v>5.8726805119844121</v>
      </c>
      <c r="H335" s="8">
        <f>mu*dt</f>
        <v>2.5000000000000005E-3</v>
      </c>
      <c r="I335" s="8">
        <f t="shared" ca="1" si="63"/>
        <v>2.0317649192328001E-2</v>
      </c>
      <c r="J335" s="8">
        <f t="shared" ca="1" si="64"/>
        <v>2.2817649192328003E-2</v>
      </c>
      <c r="L335" s="8">
        <f t="shared" ca="1" si="65"/>
        <v>11.733274826997626</v>
      </c>
      <c r="M335" s="8">
        <f ca="1">mu*L334*dt</f>
        <v>2.8678804174582961E-2</v>
      </c>
      <c r="N335" s="8">
        <f t="shared" ca="1" si="66"/>
        <v>0.23307435298985935</v>
      </c>
      <c r="O335" s="8">
        <f t="shared" ca="1" si="67"/>
        <v>0.26175315716444231</v>
      </c>
      <c r="Q335" s="7">
        <f t="shared" si="68"/>
        <v>16.200000000000095</v>
      </c>
      <c r="R335" s="8">
        <f t="shared" ca="1" si="69"/>
        <v>3.429511806307297E-2</v>
      </c>
      <c r="S335" s="8">
        <f t="shared" ca="1" si="70"/>
        <v>5.8726805119844121</v>
      </c>
      <c r="T335" s="8">
        <f t="shared" ca="1" si="71"/>
        <v>11.733274826997626</v>
      </c>
    </row>
    <row r="336" spans="1:20" x14ac:dyDescent="0.25">
      <c r="A336" s="7">
        <f>A335+dt</f>
        <v>16.250000000000096</v>
      </c>
      <c r="B336" s="8">
        <f t="shared" ca="1" si="60"/>
        <v>4.7900239730932569E-2</v>
      </c>
      <c r="C336" s="8">
        <f ca="1">lambda*(a-B335)*dt</f>
        <v>-3.4295118063072971E-3</v>
      </c>
      <c r="D336" s="8">
        <f ca="1">sigma*SQRT(dt)*_xlfn.NORM.S.INV(RAND())</f>
        <v>1.7034633474166894E-2</v>
      </c>
      <c r="E336" s="8">
        <f t="shared" ca="1" si="61"/>
        <v>1.3605121667859597E-2</v>
      </c>
      <c r="G336" s="8">
        <f t="shared" ca="1" si="62"/>
        <v>5.8922151454585787</v>
      </c>
      <c r="H336" s="8">
        <f>mu*dt</f>
        <v>2.5000000000000005E-3</v>
      </c>
      <c r="I336" s="8">
        <f t="shared" ca="1" si="63"/>
        <v>1.7034633474166894E-2</v>
      </c>
      <c r="J336" s="8">
        <f t="shared" ca="1" si="64"/>
        <v>1.9534633474166896E-2</v>
      </c>
      <c r="L336" s="8">
        <f t="shared" ca="1" si="65"/>
        <v>11.962480050194694</v>
      </c>
      <c r="M336" s="8">
        <f ca="1">mu*L335*dt</f>
        <v>2.9333187067494066E-2</v>
      </c>
      <c r="N336" s="8">
        <f t="shared" ca="1" si="66"/>
        <v>0.19987203612957352</v>
      </c>
      <c r="O336" s="8">
        <f t="shared" ca="1" si="67"/>
        <v>0.2292052231970676</v>
      </c>
      <c r="Q336" s="7">
        <f t="shared" si="68"/>
        <v>16.250000000000096</v>
      </c>
      <c r="R336" s="8">
        <f t="shared" ca="1" si="69"/>
        <v>4.7900239730932569E-2</v>
      </c>
      <c r="S336" s="8">
        <f t="shared" ca="1" si="70"/>
        <v>5.8922151454585787</v>
      </c>
      <c r="T336" s="8">
        <f t="shared" ca="1" si="71"/>
        <v>11.962480050194694</v>
      </c>
    </row>
    <row r="337" spans="1:20" x14ac:dyDescent="0.25">
      <c r="A337" s="7">
        <f>A336+dt</f>
        <v>16.300000000000097</v>
      </c>
      <c r="B337" s="8">
        <f t="shared" ca="1" si="60"/>
        <v>6.2734720985015174E-2</v>
      </c>
      <c r="C337" s="8">
        <f ca="1">lambda*(a-B336)*dt</f>
        <v>-4.790023973093257E-3</v>
      </c>
      <c r="D337" s="8">
        <f ca="1">sigma*SQRT(dt)*_xlfn.NORM.S.INV(RAND())</f>
        <v>1.9624505227175865E-2</v>
      </c>
      <c r="E337" s="8">
        <f t="shared" ca="1" si="61"/>
        <v>1.4834481254082609E-2</v>
      </c>
      <c r="G337" s="8">
        <f t="shared" ca="1" si="62"/>
        <v>5.9143396506857542</v>
      </c>
      <c r="H337" s="8">
        <f>mu*dt</f>
        <v>2.5000000000000005E-3</v>
      </c>
      <c r="I337" s="8">
        <f t="shared" ca="1" si="63"/>
        <v>1.9624505227175865E-2</v>
      </c>
      <c r="J337" s="8">
        <f t="shared" ca="1" si="64"/>
        <v>2.2124505227175864E-2</v>
      </c>
      <c r="L337" s="8">
        <f t="shared" ca="1" si="65"/>
        <v>12.227144002595214</v>
      </c>
      <c r="M337" s="8">
        <f ca="1">mu*L336*dt</f>
        <v>2.990620012548674E-2</v>
      </c>
      <c r="N337" s="8">
        <f t="shared" ca="1" si="66"/>
        <v>0.23475775227503279</v>
      </c>
      <c r="O337" s="8">
        <f t="shared" ca="1" si="67"/>
        <v>0.26466395240051954</v>
      </c>
      <c r="Q337" s="7">
        <f t="shared" si="68"/>
        <v>16.300000000000097</v>
      </c>
      <c r="R337" s="8">
        <f t="shared" ca="1" si="69"/>
        <v>6.2734720985015174E-2</v>
      </c>
      <c r="S337" s="8">
        <f t="shared" ca="1" si="70"/>
        <v>5.9143396506857542</v>
      </c>
      <c r="T337" s="8">
        <f t="shared" ca="1" si="71"/>
        <v>12.227144002595214</v>
      </c>
    </row>
    <row r="338" spans="1:20" x14ac:dyDescent="0.25">
      <c r="A338" s="7">
        <f>A337+dt</f>
        <v>16.350000000000097</v>
      </c>
      <c r="B338" s="8">
        <f t="shared" ca="1" si="60"/>
        <v>5.3873028305189218E-2</v>
      </c>
      <c r="C338" s="8">
        <f ca="1">lambda*(a-B337)*dt</f>
        <v>-6.2734720985015181E-3</v>
      </c>
      <c r="D338" s="8">
        <f ca="1">sigma*SQRT(dt)*_xlfn.NORM.S.INV(RAND())</f>
        <v>-2.5882205813244378E-3</v>
      </c>
      <c r="E338" s="8">
        <f t="shared" ca="1" si="61"/>
        <v>-8.8616926798259568E-3</v>
      </c>
      <c r="G338" s="8">
        <f t="shared" ca="1" si="62"/>
        <v>5.9142514301044296</v>
      </c>
      <c r="H338" s="8">
        <f>mu*dt</f>
        <v>2.5000000000000005E-3</v>
      </c>
      <c r="I338" s="8">
        <f t="shared" ca="1" si="63"/>
        <v>-2.5882205813244378E-3</v>
      </c>
      <c r="J338" s="8">
        <f t="shared" ca="1" si="64"/>
        <v>-8.8220581324437337E-5</v>
      </c>
      <c r="L338" s="8">
        <f t="shared" ca="1" si="65"/>
        <v>12.226065316843368</v>
      </c>
      <c r="M338" s="8">
        <f ca="1">mu*L337*dt</f>
        <v>3.0567860006488035E-2</v>
      </c>
      <c r="N338" s="8">
        <f t="shared" ca="1" si="66"/>
        <v>-3.1646545758334595E-2</v>
      </c>
      <c r="O338" s="8">
        <f t="shared" ca="1" si="67"/>
        <v>-1.0786857518465601E-3</v>
      </c>
      <c r="Q338" s="7">
        <f t="shared" si="68"/>
        <v>16.350000000000097</v>
      </c>
      <c r="R338" s="8">
        <f t="shared" ca="1" si="69"/>
        <v>5.3873028305189218E-2</v>
      </c>
      <c r="S338" s="8">
        <f t="shared" ca="1" si="70"/>
        <v>5.9142514301044296</v>
      </c>
      <c r="T338" s="8">
        <f t="shared" ca="1" si="71"/>
        <v>12.226065316843368</v>
      </c>
    </row>
    <row r="339" spans="1:20" x14ac:dyDescent="0.25">
      <c r="A339" s="7">
        <f>A338+dt</f>
        <v>16.400000000000098</v>
      </c>
      <c r="B339" s="8">
        <f t="shared" ca="1" si="60"/>
        <v>6.2782534420526254E-2</v>
      </c>
      <c r="C339" s="8">
        <f ca="1">lambda*(a-B338)*dt</f>
        <v>-5.3873028305189219E-3</v>
      </c>
      <c r="D339" s="8">
        <f ca="1">sigma*SQRT(dt)*_xlfn.NORM.S.INV(RAND())</f>
        <v>1.4296808945855952E-2</v>
      </c>
      <c r="E339" s="8">
        <f t="shared" ca="1" si="61"/>
        <v>8.9095061153370292E-3</v>
      </c>
      <c r="G339" s="8">
        <f t="shared" ca="1" si="62"/>
        <v>5.9310482390502859</v>
      </c>
      <c r="H339" s="8">
        <f>mu*dt</f>
        <v>2.5000000000000005E-3</v>
      </c>
      <c r="I339" s="8">
        <f t="shared" ca="1" si="63"/>
        <v>1.4296808945855952E-2</v>
      </c>
      <c r="J339" s="8">
        <f t="shared" ca="1" si="64"/>
        <v>1.6796808945855952E-2</v>
      </c>
      <c r="L339" s="8">
        <f t="shared" ca="1" si="65"/>
        <v>12.431424200129941</v>
      </c>
      <c r="M339" s="8">
        <f ca="1">mu*L338*dt</f>
        <v>3.0565163292108424E-2</v>
      </c>
      <c r="N339" s="8">
        <f t="shared" ca="1" si="66"/>
        <v>0.17479371999446544</v>
      </c>
      <c r="O339" s="8">
        <f t="shared" ca="1" si="67"/>
        <v>0.20535888328657387</v>
      </c>
      <c r="Q339" s="7">
        <f t="shared" si="68"/>
        <v>16.400000000000098</v>
      </c>
      <c r="R339" s="8">
        <f t="shared" ca="1" si="69"/>
        <v>6.2782534420526254E-2</v>
      </c>
      <c r="S339" s="8">
        <f t="shared" ca="1" si="70"/>
        <v>5.9310482390502859</v>
      </c>
      <c r="T339" s="8">
        <f t="shared" ca="1" si="71"/>
        <v>12.431424200129941</v>
      </c>
    </row>
    <row r="340" spans="1:20" x14ac:dyDescent="0.25">
      <c r="A340" s="7">
        <f>A339+dt</f>
        <v>16.450000000000099</v>
      </c>
      <c r="B340" s="8">
        <f t="shared" ca="1" si="60"/>
        <v>4.3894652414272005E-2</v>
      </c>
      <c r="C340" s="8">
        <f ca="1">lambda*(a-B339)*dt</f>
        <v>-6.2782534420526255E-3</v>
      </c>
      <c r="D340" s="8">
        <f ca="1">sigma*SQRT(dt)*_xlfn.NORM.S.INV(RAND())</f>
        <v>-1.2609628564201622E-2</v>
      </c>
      <c r="E340" s="8">
        <f t="shared" ca="1" si="61"/>
        <v>-1.8887882006254249E-2</v>
      </c>
      <c r="G340" s="8">
        <f t="shared" ca="1" si="62"/>
        <v>5.9209386104860844</v>
      </c>
      <c r="H340" s="8">
        <f>mu*dt</f>
        <v>2.5000000000000005E-3</v>
      </c>
      <c r="I340" s="8">
        <f t="shared" ca="1" si="63"/>
        <v>-1.2609628564201622E-2</v>
      </c>
      <c r="J340" s="8">
        <f t="shared" ca="1" si="64"/>
        <v>-1.0109628564201622E-2</v>
      </c>
      <c r="L340" s="8">
        <f t="shared" ca="1" si="65"/>
        <v>12.3057471189426</v>
      </c>
      <c r="M340" s="8">
        <f ca="1">mu*L339*dt</f>
        <v>3.1078560500324856E-2</v>
      </c>
      <c r="N340" s="8">
        <f t="shared" ca="1" si="66"/>
        <v>-0.15675564168766581</v>
      </c>
      <c r="O340" s="8">
        <f t="shared" ca="1" si="67"/>
        <v>-0.12567708118734094</v>
      </c>
      <c r="Q340" s="7">
        <f t="shared" si="68"/>
        <v>16.450000000000099</v>
      </c>
      <c r="R340" s="8">
        <f t="shared" ca="1" si="69"/>
        <v>4.3894652414272005E-2</v>
      </c>
      <c r="S340" s="8">
        <f t="shared" ca="1" si="70"/>
        <v>5.9209386104860844</v>
      </c>
      <c r="T340" s="8">
        <f t="shared" ca="1" si="71"/>
        <v>12.3057471189426</v>
      </c>
    </row>
    <row r="341" spans="1:20" x14ac:dyDescent="0.25">
      <c r="A341" s="7">
        <f>A340+dt</f>
        <v>16.500000000000099</v>
      </c>
      <c r="B341" s="8">
        <f t="shared" ca="1" si="60"/>
        <v>3.8369780900418954E-2</v>
      </c>
      <c r="C341" s="8">
        <f ca="1">lambda*(a-B340)*dt</f>
        <v>-4.3894652414272007E-3</v>
      </c>
      <c r="D341" s="8">
        <f ca="1">sigma*SQRT(dt)*_xlfn.NORM.S.INV(RAND())</f>
        <v>-1.1354062724258523E-3</v>
      </c>
      <c r="E341" s="8">
        <f t="shared" ca="1" si="61"/>
        <v>-5.5248715138530528E-3</v>
      </c>
      <c r="G341" s="8">
        <f t="shared" ca="1" si="62"/>
        <v>5.9223032042136587</v>
      </c>
      <c r="H341" s="8">
        <f>mu*dt</f>
        <v>2.5000000000000005E-3</v>
      </c>
      <c r="I341" s="8">
        <f t="shared" ca="1" si="63"/>
        <v>-1.1354062724258523E-3</v>
      </c>
      <c r="J341" s="8">
        <f t="shared" ca="1" si="64"/>
        <v>1.3645937275741482E-3</v>
      </c>
      <c r="L341" s="8">
        <f t="shared" ca="1" si="65"/>
        <v>12.322539464274223</v>
      </c>
      <c r="M341" s="8">
        <f ca="1">mu*L340*dt</f>
        <v>3.0764367797356501E-2</v>
      </c>
      <c r="N341" s="8">
        <f t="shared" ca="1" si="66"/>
        <v>-1.3972022465733789E-2</v>
      </c>
      <c r="O341" s="8">
        <f t="shared" ca="1" si="67"/>
        <v>1.6792345331622712E-2</v>
      </c>
      <c r="Q341" s="7">
        <f t="shared" si="68"/>
        <v>16.500000000000099</v>
      </c>
      <c r="R341" s="8">
        <f t="shared" ca="1" si="69"/>
        <v>3.8369780900418954E-2</v>
      </c>
      <c r="S341" s="8">
        <f t="shared" ca="1" si="70"/>
        <v>5.9223032042136587</v>
      </c>
      <c r="T341" s="8">
        <f t="shared" ca="1" si="71"/>
        <v>12.322539464274223</v>
      </c>
    </row>
    <row r="342" spans="1:20" x14ac:dyDescent="0.25">
      <c r="A342" s="7">
        <f>A341+dt</f>
        <v>16.5500000000001</v>
      </c>
      <c r="B342" s="8">
        <f t="shared" ca="1" si="60"/>
        <v>6.3890849287605578E-2</v>
      </c>
      <c r="C342" s="8">
        <f ca="1">lambda*(a-B341)*dt</f>
        <v>-3.8369780900418954E-3</v>
      </c>
      <c r="D342" s="8">
        <f ca="1">sigma*SQRT(dt)*_xlfn.NORM.S.INV(RAND())</f>
        <v>2.9358046477228523E-2</v>
      </c>
      <c r="E342" s="8">
        <f t="shared" ca="1" si="61"/>
        <v>2.5521068387186627E-2</v>
      </c>
      <c r="G342" s="8">
        <f t="shared" ca="1" si="62"/>
        <v>5.9541612506908876</v>
      </c>
      <c r="H342" s="8">
        <f>mu*dt</f>
        <v>2.5000000000000005E-3</v>
      </c>
      <c r="I342" s="8">
        <f t="shared" ca="1" si="63"/>
        <v>2.9358046477228523E-2</v>
      </c>
      <c r="J342" s="8">
        <f t="shared" ca="1" si="64"/>
        <v>3.1858046477228522E-2</v>
      </c>
      <c r="L342" s="8">
        <f t="shared" ca="1" si="65"/>
        <v>12.715111499244554</v>
      </c>
      <c r="M342" s="8">
        <f ca="1">mu*L341*dt</f>
        <v>3.0806348660685563E-2</v>
      </c>
      <c r="N342" s="8">
        <f t="shared" ca="1" si="66"/>
        <v>0.36176568630964534</v>
      </c>
      <c r="O342" s="8">
        <f t="shared" ca="1" si="67"/>
        <v>0.39257203497033089</v>
      </c>
      <c r="Q342" s="7">
        <f t="shared" si="68"/>
        <v>16.5500000000001</v>
      </c>
      <c r="R342" s="8">
        <f t="shared" ca="1" si="69"/>
        <v>6.3890849287605578E-2</v>
      </c>
      <c r="S342" s="8">
        <f t="shared" ca="1" si="70"/>
        <v>5.9541612506908876</v>
      </c>
      <c r="T342" s="8">
        <f t="shared" ca="1" si="71"/>
        <v>12.715111499244554</v>
      </c>
    </row>
    <row r="343" spans="1:20" x14ac:dyDescent="0.25">
      <c r="A343" s="7">
        <f>A342+dt</f>
        <v>16.600000000000101</v>
      </c>
      <c r="B343" s="8">
        <f t="shared" ca="1" si="60"/>
        <v>6.0590305594343988E-2</v>
      </c>
      <c r="C343" s="8">
        <f ca="1">lambda*(a-B342)*dt</f>
        <v>-6.3890849287605578E-3</v>
      </c>
      <c r="D343" s="8">
        <f ca="1">sigma*SQRT(dt)*_xlfn.NORM.S.INV(RAND())</f>
        <v>3.0885412354989704E-3</v>
      </c>
      <c r="E343" s="8">
        <f t="shared" ca="1" si="61"/>
        <v>-3.3005436932615874E-3</v>
      </c>
      <c r="G343" s="8">
        <f t="shared" ca="1" si="62"/>
        <v>5.9597497919263862</v>
      </c>
      <c r="H343" s="8">
        <f>mu*dt</f>
        <v>2.5000000000000005E-3</v>
      </c>
      <c r="I343" s="8">
        <f t="shared" ca="1" si="63"/>
        <v>3.0885412354989704E-3</v>
      </c>
      <c r="J343" s="8">
        <f t="shared" ca="1" si="64"/>
        <v>5.5885412354989708E-3</v>
      </c>
      <c r="L343" s="8">
        <f t="shared" ca="1" si="65"/>
        <v>12.786170424172049</v>
      </c>
      <c r="M343" s="8">
        <f ca="1">mu*L342*dt</f>
        <v>3.1787778748111388E-2</v>
      </c>
      <c r="N343" s="8">
        <f t="shared" ca="1" si="66"/>
        <v>3.9271146179383938E-2</v>
      </c>
      <c r="O343" s="8">
        <f t="shared" ca="1" si="67"/>
        <v>7.1058924927495326E-2</v>
      </c>
      <c r="Q343" s="7">
        <f t="shared" si="68"/>
        <v>16.600000000000101</v>
      </c>
      <c r="R343" s="8">
        <f t="shared" ca="1" si="69"/>
        <v>6.0590305594343988E-2</v>
      </c>
      <c r="S343" s="8">
        <f t="shared" ca="1" si="70"/>
        <v>5.9597497919263862</v>
      </c>
      <c r="T343" s="8">
        <f t="shared" ca="1" si="71"/>
        <v>12.786170424172049</v>
      </c>
    </row>
    <row r="344" spans="1:20" x14ac:dyDescent="0.25">
      <c r="A344" s="7">
        <f>A343+dt</f>
        <v>16.650000000000102</v>
      </c>
      <c r="B344" s="8">
        <f t="shared" ca="1" si="60"/>
        <v>5.871273723098272E-2</v>
      </c>
      <c r="C344" s="8">
        <f ca="1">lambda*(a-B343)*dt</f>
        <v>-6.059030559434399E-3</v>
      </c>
      <c r="D344" s="8">
        <f ca="1">sigma*SQRT(dt)*_xlfn.NORM.S.INV(RAND())</f>
        <v>4.1814621960731329E-3</v>
      </c>
      <c r="E344" s="8">
        <f t="shared" ca="1" si="61"/>
        <v>-1.877568363361266E-3</v>
      </c>
      <c r="G344" s="8">
        <f t="shared" ca="1" si="62"/>
        <v>5.9664312541224591</v>
      </c>
      <c r="H344" s="8">
        <f>mu*dt</f>
        <v>2.5000000000000005E-3</v>
      </c>
      <c r="I344" s="8">
        <f t="shared" ca="1" si="63"/>
        <v>4.1814621960731329E-3</v>
      </c>
      <c r="J344" s="8">
        <f t="shared" ca="1" si="64"/>
        <v>6.6814621960731334E-3</v>
      </c>
      <c r="L344" s="8">
        <f t="shared" ca="1" si="65"/>
        <v>12.871600738493703</v>
      </c>
      <c r="M344" s="8">
        <f ca="1">mu*L343*dt</f>
        <v>3.1965426060430124E-2</v>
      </c>
      <c r="N344" s="8">
        <f t="shared" ca="1" si="66"/>
        <v>5.3464888261223795E-2</v>
      </c>
      <c r="O344" s="8">
        <f t="shared" ca="1" si="67"/>
        <v>8.5430314321653919E-2</v>
      </c>
      <c r="Q344" s="7">
        <f t="shared" si="68"/>
        <v>16.650000000000102</v>
      </c>
      <c r="R344" s="8">
        <f t="shared" ca="1" si="69"/>
        <v>5.871273723098272E-2</v>
      </c>
      <c r="S344" s="8">
        <f t="shared" ca="1" si="70"/>
        <v>5.9664312541224591</v>
      </c>
      <c r="T344" s="8">
        <f t="shared" ca="1" si="71"/>
        <v>12.871600738493703</v>
      </c>
    </row>
    <row r="345" spans="1:20" x14ac:dyDescent="0.25">
      <c r="A345" s="7">
        <f>A344+dt</f>
        <v>16.700000000000102</v>
      </c>
      <c r="B345" s="8">
        <f t="shared" ca="1" si="60"/>
        <v>6.1801174276606877E-2</v>
      </c>
      <c r="C345" s="8">
        <f ca="1">lambda*(a-B344)*dt</f>
        <v>-5.871273723098272E-3</v>
      </c>
      <c r="D345" s="8">
        <f ca="1">sigma*SQRT(dt)*_xlfn.NORM.S.INV(RAND())</f>
        <v>8.9597107687224269E-3</v>
      </c>
      <c r="E345" s="8">
        <f t="shared" ca="1" si="61"/>
        <v>3.0884370456241549E-3</v>
      </c>
      <c r="G345" s="8">
        <f t="shared" ca="1" si="62"/>
        <v>5.9778909648911815</v>
      </c>
      <c r="H345" s="8">
        <f>mu*dt</f>
        <v>2.5000000000000005E-3</v>
      </c>
      <c r="I345" s="8">
        <f t="shared" ca="1" si="63"/>
        <v>8.9597107687224269E-3</v>
      </c>
      <c r="J345" s="8">
        <f t="shared" ca="1" si="64"/>
        <v>1.1459710768722427E-2</v>
      </c>
      <c r="L345" s="8">
        <f t="shared" ca="1" si="65"/>
        <v>13.019105560087315</v>
      </c>
      <c r="M345" s="8">
        <f ca="1">mu*L344*dt</f>
        <v>3.2179001846234255E-2</v>
      </c>
      <c r="N345" s="8">
        <f t="shared" ca="1" si="66"/>
        <v>0.11532581974737757</v>
      </c>
      <c r="O345" s="8">
        <f t="shared" ca="1" si="67"/>
        <v>0.14750482159361183</v>
      </c>
      <c r="Q345" s="7">
        <f t="shared" si="68"/>
        <v>16.700000000000102</v>
      </c>
      <c r="R345" s="8">
        <f t="shared" ca="1" si="69"/>
        <v>6.1801174276606877E-2</v>
      </c>
      <c r="S345" s="8">
        <f t="shared" ca="1" si="70"/>
        <v>5.9778909648911815</v>
      </c>
      <c r="T345" s="8">
        <f t="shared" ca="1" si="71"/>
        <v>13.019105560087315</v>
      </c>
    </row>
    <row r="346" spans="1:20" x14ac:dyDescent="0.25">
      <c r="A346" s="7">
        <f>A345+dt</f>
        <v>16.750000000000103</v>
      </c>
      <c r="B346" s="8">
        <f t="shared" ca="1" si="60"/>
        <v>4.5980031836032359E-2</v>
      </c>
      <c r="C346" s="8">
        <f ca="1">lambda*(a-B345)*dt</f>
        <v>-6.1801174276606878E-3</v>
      </c>
      <c r="D346" s="8">
        <f ca="1">sigma*SQRT(dt)*_xlfn.NORM.S.INV(RAND())</f>
        <v>-9.6410250129138342E-3</v>
      </c>
      <c r="E346" s="8">
        <f t="shared" ca="1" si="61"/>
        <v>-1.5821142440574521E-2</v>
      </c>
      <c r="G346" s="8">
        <f t="shared" ca="1" si="62"/>
        <v>5.9707499398782673</v>
      </c>
      <c r="H346" s="8">
        <f>mu*dt</f>
        <v>2.5000000000000005E-3</v>
      </c>
      <c r="I346" s="8">
        <f t="shared" ca="1" si="63"/>
        <v>-9.6410250129138342E-3</v>
      </c>
      <c r="J346" s="8">
        <f t="shared" ca="1" si="64"/>
        <v>-7.1410250129138337E-3</v>
      </c>
      <c r="L346" s="8">
        <f t="shared" ca="1" si="65"/>
        <v>12.926135801636965</v>
      </c>
      <c r="M346" s="8">
        <f ca="1">mu*L345*dt</f>
        <v>3.2547763900218289E-2</v>
      </c>
      <c r="N346" s="8">
        <f t="shared" ca="1" si="66"/>
        <v>-0.12551752235056737</v>
      </c>
      <c r="O346" s="8">
        <f t="shared" ca="1" si="67"/>
        <v>-9.2969758450349077E-2</v>
      </c>
      <c r="Q346" s="7">
        <f t="shared" si="68"/>
        <v>16.750000000000103</v>
      </c>
      <c r="R346" s="8">
        <f t="shared" ca="1" si="69"/>
        <v>4.5980031836032359E-2</v>
      </c>
      <c r="S346" s="8">
        <f t="shared" ca="1" si="70"/>
        <v>5.9707499398782673</v>
      </c>
      <c r="T346" s="8">
        <f t="shared" ca="1" si="71"/>
        <v>12.926135801636965</v>
      </c>
    </row>
    <row r="347" spans="1:20" x14ac:dyDescent="0.25">
      <c r="A347" s="7">
        <f>A346+dt</f>
        <v>16.800000000000104</v>
      </c>
      <c r="B347" s="8">
        <f t="shared" ca="1" si="60"/>
        <v>3.6531923015663097E-2</v>
      </c>
      <c r="C347" s="8">
        <f ca="1">lambda*(a-B346)*dt</f>
        <v>-4.5980031836032357E-3</v>
      </c>
      <c r="D347" s="8">
        <f ca="1">sigma*SQRT(dt)*_xlfn.NORM.S.INV(RAND())</f>
        <v>-4.8501056367660257E-3</v>
      </c>
      <c r="E347" s="8">
        <f t="shared" ca="1" si="61"/>
        <v>-9.4481088203692623E-3</v>
      </c>
      <c r="G347" s="8">
        <f t="shared" ca="1" si="62"/>
        <v>5.9683998342415014</v>
      </c>
      <c r="H347" s="8">
        <f>mu*dt</f>
        <v>2.5000000000000005E-3</v>
      </c>
      <c r="I347" s="8">
        <f t="shared" ca="1" si="63"/>
        <v>-4.8501056367660257E-3</v>
      </c>
      <c r="J347" s="8">
        <f t="shared" ca="1" si="64"/>
        <v>-2.3501056367660252E-3</v>
      </c>
      <c r="L347" s="8">
        <f t="shared" ca="1" si="65"/>
        <v>12.895758017027935</v>
      </c>
      <c r="M347" s="8">
        <f ca="1">mu*L346*dt</f>
        <v>3.2315339504092419E-2</v>
      </c>
      <c r="N347" s="8">
        <f t="shared" ca="1" si="66"/>
        <v>-6.269312411312257E-2</v>
      </c>
      <c r="O347" s="8">
        <f t="shared" ca="1" si="67"/>
        <v>-3.0377784609030151E-2</v>
      </c>
      <c r="Q347" s="7">
        <f t="shared" si="68"/>
        <v>16.800000000000104</v>
      </c>
      <c r="R347" s="8">
        <f t="shared" ca="1" si="69"/>
        <v>3.6531923015663097E-2</v>
      </c>
      <c r="S347" s="8">
        <f t="shared" ca="1" si="70"/>
        <v>5.9683998342415014</v>
      </c>
      <c r="T347" s="8">
        <f t="shared" ca="1" si="71"/>
        <v>12.895758017027935</v>
      </c>
    </row>
    <row r="348" spans="1:20" x14ac:dyDescent="0.25">
      <c r="A348" s="7">
        <f>A347+dt</f>
        <v>16.850000000000104</v>
      </c>
      <c r="B348" s="8">
        <f t="shared" ca="1" si="60"/>
        <v>3.6279454844401156E-2</v>
      </c>
      <c r="C348" s="8">
        <f ca="1">lambda*(a-B347)*dt</f>
        <v>-3.6531923015663097E-3</v>
      </c>
      <c r="D348" s="8">
        <f ca="1">sigma*SQRT(dt)*_xlfn.NORM.S.INV(RAND())</f>
        <v>3.4007241303043679E-3</v>
      </c>
      <c r="E348" s="8">
        <f t="shared" ca="1" si="61"/>
        <v>-2.5246817126194174E-4</v>
      </c>
      <c r="G348" s="8">
        <f t="shared" ca="1" si="62"/>
        <v>5.9743005583718061</v>
      </c>
      <c r="H348" s="8">
        <f>mu*dt</f>
        <v>2.5000000000000005E-3</v>
      </c>
      <c r="I348" s="8">
        <f t="shared" ca="1" si="63"/>
        <v>3.4007241303043679E-3</v>
      </c>
      <c r="J348" s="8">
        <f t="shared" ca="1" si="64"/>
        <v>5.9007241303043684E-3</v>
      </c>
      <c r="L348" s="8">
        <f t="shared" ca="1" si="65"/>
        <v>12.971852327537578</v>
      </c>
      <c r="M348" s="8">
        <f ca="1">mu*L347*dt</f>
        <v>3.2239395042569841E-2</v>
      </c>
      <c r="N348" s="8">
        <f t="shared" ca="1" si="66"/>
        <v>4.3854915467072902E-2</v>
      </c>
      <c r="O348" s="8">
        <f t="shared" ca="1" si="67"/>
        <v>7.6094310509642743E-2</v>
      </c>
      <c r="Q348" s="7">
        <f t="shared" si="68"/>
        <v>16.850000000000104</v>
      </c>
      <c r="R348" s="8">
        <f t="shared" ca="1" si="69"/>
        <v>3.6279454844401156E-2</v>
      </c>
      <c r="S348" s="8">
        <f t="shared" ca="1" si="70"/>
        <v>5.9743005583718061</v>
      </c>
      <c r="T348" s="8">
        <f t="shared" ca="1" si="71"/>
        <v>12.971852327537578</v>
      </c>
    </row>
    <row r="349" spans="1:20" x14ac:dyDescent="0.25">
      <c r="A349" s="7">
        <f>A348+dt</f>
        <v>16.900000000000105</v>
      </c>
      <c r="B349" s="8">
        <f t="shared" ca="1" si="60"/>
        <v>2.7451083209311063E-2</v>
      </c>
      <c r="C349" s="8">
        <f ca="1">lambda*(a-B348)*dt</f>
        <v>-3.6279454844401157E-3</v>
      </c>
      <c r="D349" s="8">
        <f ca="1">sigma*SQRT(dt)*_xlfn.NORM.S.INV(RAND())</f>
        <v>-5.2004261506499779E-3</v>
      </c>
      <c r="E349" s="8">
        <f t="shared" ca="1" si="61"/>
        <v>-8.8283716350900932E-3</v>
      </c>
      <c r="G349" s="8">
        <f t="shared" ca="1" si="62"/>
        <v>5.9716001322211563</v>
      </c>
      <c r="H349" s="8">
        <f>mu*dt</f>
        <v>2.5000000000000005E-3</v>
      </c>
      <c r="I349" s="8">
        <f t="shared" ca="1" si="63"/>
        <v>-5.2004261506499779E-3</v>
      </c>
      <c r="J349" s="8">
        <f t="shared" ca="1" si="64"/>
        <v>-2.7004261506499774E-3</v>
      </c>
      <c r="L349" s="8">
        <f t="shared" ca="1" si="65"/>
        <v>12.936822798289926</v>
      </c>
      <c r="M349" s="8">
        <f ca="1">mu*L348*dt</f>
        <v>3.2429630818843945E-2</v>
      </c>
      <c r="N349" s="8">
        <f t="shared" ca="1" si="66"/>
        <v>-6.7459160066496202E-2</v>
      </c>
      <c r="O349" s="8">
        <f t="shared" ca="1" si="67"/>
        <v>-3.5029529247652257E-2</v>
      </c>
      <c r="Q349" s="7">
        <f t="shared" si="68"/>
        <v>16.900000000000105</v>
      </c>
      <c r="R349" s="8">
        <f t="shared" ca="1" si="69"/>
        <v>2.7451083209311063E-2</v>
      </c>
      <c r="S349" s="8">
        <f t="shared" ca="1" si="70"/>
        <v>5.9716001322211563</v>
      </c>
      <c r="T349" s="8">
        <f t="shared" ca="1" si="71"/>
        <v>12.936822798289926</v>
      </c>
    </row>
    <row r="350" spans="1:20" x14ac:dyDescent="0.25">
      <c r="A350" s="7">
        <f>A349+dt</f>
        <v>16.950000000000106</v>
      </c>
      <c r="B350" s="8">
        <f t="shared" ca="1" si="60"/>
        <v>2.5937729963807426E-2</v>
      </c>
      <c r="C350" s="8">
        <f ca="1">lambda*(a-B349)*dt</f>
        <v>-2.7451083209311064E-3</v>
      </c>
      <c r="D350" s="8">
        <f ca="1">sigma*SQRT(dt)*_xlfn.NORM.S.INV(RAND())</f>
        <v>1.2317550754274698E-3</v>
      </c>
      <c r="E350" s="8">
        <f t="shared" ca="1" si="61"/>
        <v>-1.5133532455036366E-3</v>
      </c>
      <c r="G350" s="8">
        <f t="shared" ca="1" si="62"/>
        <v>5.9753318872965835</v>
      </c>
      <c r="H350" s="8">
        <f>mu*dt</f>
        <v>2.5000000000000005E-3</v>
      </c>
      <c r="I350" s="8">
        <f t="shared" ca="1" si="63"/>
        <v>1.2317550754274698E-3</v>
      </c>
      <c r="J350" s="8">
        <f t="shared" ca="1" si="64"/>
        <v>3.7317550754274705E-3</v>
      </c>
      <c r="L350" s="8">
        <f t="shared" ca="1" si="65"/>
        <v>12.98509985242735</v>
      </c>
      <c r="M350" s="8">
        <f ca="1">mu*L349*dt</f>
        <v>3.2342056995724816E-2</v>
      </c>
      <c r="N350" s="8">
        <f t="shared" ca="1" si="66"/>
        <v>1.5934997141699419E-2</v>
      </c>
      <c r="O350" s="8">
        <f t="shared" ca="1" si="67"/>
        <v>4.8277054137424238E-2</v>
      </c>
      <c r="Q350" s="7">
        <f t="shared" si="68"/>
        <v>16.950000000000106</v>
      </c>
      <c r="R350" s="8">
        <f t="shared" ca="1" si="69"/>
        <v>2.5937729963807426E-2</v>
      </c>
      <c r="S350" s="8">
        <f t="shared" ca="1" si="70"/>
        <v>5.9753318872965835</v>
      </c>
      <c r="T350" s="8">
        <f t="shared" ca="1" si="71"/>
        <v>12.98509985242735</v>
      </c>
    </row>
    <row r="351" spans="1:20" x14ac:dyDescent="0.25">
      <c r="A351" s="7">
        <f>A350+dt</f>
        <v>17.000000000000107</v>
      </c>
      <c r="B351" s="8">
        <f t="shared" ca="1" si="60"/>
        <v>2.6924312156450095E-2</v>
      </c>
      <c r="C351" s="8">
        <f ca="1">lambda*(a-B350)*dt</f>
        <v>-2.5937729963807429E-3</v>
      </c>
      <c r="D351" s="8">
        <f ca="1">sigma*SQRT(dt)*_xlfn.NORM.S.INV(RAND())</f>
        <v>3.5803551890234105E-3</v>
      </c>
      <c r="E351" s="8">
        <f t="shared" ca="1" si="61"/>
        <v>9.8658219264266761E-4</v>
      </c>
      <c r="G351" s="8">
        <f t="shared" ca="1" si="62"/>
        <v>5.9814122424856073</v>
      </c>
      <c r="H351" s="8">
        <f>mu*dt</f>
        <v>2.5000000000000005E-3</v>
      </c>
      <c r="I351" s="8">
        <f t="shared" ca="1" si="63"/>
        <v>3.5803551890234105E-3</v>
      </c>
      <c r="J351" s="8">
        <f t="shared" ca="1" si="64"/>
        <v>6.0803551890234106E-3</v>
      </c>
      <c r="L351" s="8">
        <f t="shared" ca="1" si="65"/>
        <v>13.064053871695045</v>
      </c>
      <c r="M351" s="8">
        <f ca="1">mu*L350*dt</f>
        <v>3.2462749631068377E-2</v>
      </c>
      <c r="N351" s="8">
        <f t="shared" ca="1" si="66"/>
        <v>4.6491269636625386E-2</v>
      </c>
      <c r="O351" s="8">
        <f t="shared" ca="1" si="67"/>
        <v>7.895401926769377E-2</v>
      </c>
      <c r="Q351" s="7">
        <f t="shared" si="68"/>
        <v>17.000000000000107</v>
      </c>
      <c r="R351" s="8">
        <f t="shared" ca="1" si="69"/>
        <v>2.6924312156450095E-2</v>
      </c>
      <c r="S351" s="8">
        <f t="shared" ca="1" si="70"/>
        <v>5.9814122424856073</v>
      </c>
      <c r="T351" s="8">
        <f t="shared" ca="1" si="71"/>
        <v>13.064053871695045</v>
      </c>
    </row>
    <row r="352" spans="1:20" x14ac:dyDescent="0.25">
      <c r="A352" s="7">
        <f>A351+dt</f>
        <v>17.050000000000107</v>
      </c>
      <c r="B352" s="8">
        <f t="shared" ca="1" si="60"/>
        <v>2.124566092331432E-2</v>
      </c>
      <c r="C352" s="8">
        <f ca="1">lambda*(a-B351)*dt</f>
        <v>-2.6924312156450096E-3</v>
      </c>
      <c r="D352" s="8">
        <f ca="1">sigma*SQRT(dt)*_xlfn.NORM.S.INV(RAND())</f>
        <v>-2.9862200174907635E-3</v>
      </c>
      <c r="E352" s="8">
        <f t="shared" ca="1" si="61"/>
        <v>-5.6786512331357727E-3</v>
      </c>
      <c r="G352" s="8">
        <f t="shared" ca="1" si="62"/>
        <v>5.9809260224681164</v>
      </c>
      <c r="H352" s="8">
        <f>mu*dt</f>
        <v>2.5000000000000005E-3</v>
      </c>
      <c r="I352" s="8">
        <f t="shared" ca="1" si="63"/>
        <v>-2.9862200174907635E-3</v>
      </c>
      <c r="J352" s="8">
        <f t="shared" ca="1" si="64"/>
        <v>-4.8622001749076306E-4</v>
      </c>
      <c r="L352" s="8">
        <f t="shared" ca="1" si="65"/>
        <v>13.057701867193048</v>
      </c>
      <c r="M352" s="8">
        <f ca="1">mu*L351*dt</f>
        <v>3.2660134679237611E-2</v>
      </c>
      <c r="N352" s="8">
        <f t="shared" ca="1" si="66"/>
        <v>-3.9012139181233453E-2</v>
      </c>
      <c r="O352" s="8">
        <f t="shared" ca="1" si="67"/>
        <v>-6.3520045019958421E-3</v>
      </c>
      <c r="Q352" s="7">
        <f t="shared" si="68"/>
        <v>17.050000000000107</v>
      </c>
      <c r="R352" s="8">
        <f t="shared" ca="1" si="69"/>
        <v>2.124566092331432E-2</v>
      </c>
      <c r="S352" s="8">
        <f t="shared" ca="1" si="70"/>
        <v>5.9809260224681164</v>
      </c>
      <c r="T352" s="8">
        <f t="shared" ca="1" si="71"/>
        <v>13.057701867193048</v>
      </c>
    </row>
    <row r="353" spans="1:20" x14ac:dyDescent="0.25">
      <c r="A353" s="7">
        <f>A352+dt</f>
        <v>17.100000000000108</v>
      </c>
      <c r="B353" s="8">
        <f t="shared" ca="1" si="60"/>
        <v>-2.4370688978234134E-4</v>
      </c>
      <c r="C353" s="8">
        <f ca="1">lambda*(a-B352)*dt</f>
        <v>-2.124566092331432E-3</v>
      </c>
      <c r="D353" s="8">
        <f ca="1">sigma*SQRT(dt)*_xlfn.NORM.S.INV(RAND())</f>
        <v>-1.936480172076523E-2</v>
      </c>
      <c r="E353" s="8">
        <f t="shared" ca="1" si="61"/>
        <v>-2.1489367813096662E-2</v>
      </c>
      <c r="G353" s="8">
        <f t="shared" ca="1" si="62"/>
        <v>5.9640612207473511</v>
      </c>
      <c r="H353" s="8">
        <f>mu*dt</f>
        <v>2.5000000000000005E-3</v>
      </c>
      <c r="I353" s="8">
        <f t="shared" ca="1" si="63"/>
        <v>-1.936480172076523E-2</v>
      </c>
      <c r="J353" s="8">
        <f t="shared" ca="1" si="64"/>
        <v>-1.6864801720765231E-2</v>
      </c>
      <c r="L353" s="8">
        <f t="shared" ca="1" si="65"/>
        <v>12.837486314273971</v>
      </c>
      <c r="M353" s="8">
        <f ca="1">mu*L352*dt</f>
        <v>3.2644254667982618E-2</v>
      </c>
      <c r="N353" s="8">
        <f t="shared" ca="1" si="66"/>
        <v>-0.25285980758705928</v>
      </c>
      <c r="O353" s="8">
        <f t="shared" ca="1" si="67"/>
        <v>-0.22021555291907666</v>
      </c>
      <c r="Q353" s="7">
        <f t="shared" si="68"/>
        <v>17.100000000000108</v>
      </c>
      <c r="R353" s="8">
        <f t="shared" ca="1" si="69"/>
        <v>-2.4370688978234134E-4</v>
      </c>
      <c r="S353" s="8">
        <f t="shared" ca="1" si="70"/>
        <v>5.9640612207473511</v>
      </c>
      <c r="T353" s="8">
        <f t="shared" ca="1" si="71"/>
        <v>12.837486314273971</v>
      </c>
    </row>
    <row r="354" spans="1:20" x14ac:dyDescent="0.25">
      <c r="A354" s="7">
        <f>A353+dt</f>
        <v>17.150000000000109</v>
      </c>
      <c r="B354" s="8">
        <f t="shared" ca="1" si="60"/>
        <v>5.1143918023125183E-4</v>
      </c>
      <c r="C354" s="8">
        <f ca="1">lambda*(a-B353)*dt</f>
        <v>2.4370688978234137E-5</v>
      </c>
      <c r="D354" s="8">
        <f ca="1">sigma*SQRT(dt)*_xlfn.NORM.S.INV(RAND())</f>
        <v>7.30775381035359E-4</v>
      </c>
      <c r="E354" s="8">
        <f t="shared" ca="1" si="61"/>
        <v>7.5514607001359317E-4</v>
      </c>
      <c r="G354" s="8">
        <f t="shared" ca="1" si="62"/>
        <v>5.9672919961283863</v>
      </c>
      <c r="H354" s="8">
        <f>mu*dt</f>
        <v>2.5000000000000005E-3</v>
      </c>
      <c r="I354" s="8">
        <f t="shared" ca="1" si="63"/>
        <v>7.30775381035359E-4</v>
      </c>
      <c r="J354" s="8">
        <f t="shared" ca="1" si="64"/>
        <v>3.2307753810353595E-3</v>
      </c>
      <c r="L354" s="8">
        <f t="shared" ca="1" si="65"/>
        <v>12.878961349012505</v>
      </c>
      <c r="M354" s="8">
        <f ca="1">mu*L353*dt</f>
        <v>3.2093715785684929E-2</v>
      </c>
      <c r="N354" s="8">
        <f t="shared" ca="1" si="66"/>
        <v>9.3813189528497674E-3</v>
      </c>
      <c r="O354" s="8">
        <f t="shared" ca="1" si="67"/>
        <v>4.14750347385347E-2</v>
      </c>
      <c r="Q354" s="7">
        <f t="shared" si="68"/>
        <v>17.150000000000109</v>
      </c>
      <c r="R354" s="8">
        <f t="shared" ca="1" si="69"/>
        <v>5.1143918023125183E-4</v>
      </c>
      <c r="S354" s="8">
        <f t="shared" ca="1" si="70"/>
        <v>5.9672919961283863</v>
      </c>
      <c r="T354" s="8">
        <f t="shared" ca="1" si="71"/>
        <v>12.878961349012505</v>
      </c>
    </row>
    <row r="355" spans="1:20" x14ac:dyDescent="0.25">
      <c r="A355" s="7">
        <f>A354+dt</f>
        <v>17.200000000000109</v>
      </c>
      <c r="B355" s="8">
        <f t="shared" ca="1" si="60"/>
        <v>-4.9178237173799029E-6</v>
      </c>
      <c r="C355" s="8">
        <f ca="1">lambda*(a-B354)*dt</f>
        <v>-5.1143918023125185E-5</v>
      </c>
      <c r="D355" s="8">
        <f ca="1">sigma*SQRT(dt)*_xlfn.NORM.S.INV(RAND())</f>
        <v>-4.6521308592550653E-4</v>
      </c>
      <c r="E355" s="8">
        <f t="shared" ca="1" si="61"/>
        <v>-5.1635700394863173E-4</v>
      </c>
      <c r="G355" s="8">
        <f t="shared" ca="1" si="62"/>
        <v>5.9693267830424608</v>
      </c>
      <c r="H355" s="8">
        <f>mu*dt</f>
        <v>2.5000000000000005E-3</v>
      </c>
      <c r="I355" s="8">
        <f t="shared" ca="1" si="63"/>
        <v>-4.6521308592550653E-4</v>
      </c>
      <c r="J355" s="8">
        <f t="shared" ca="1" si="64"/>
        <v>2.0347869140744938E-3</v>
      </c>
      <c r="L355" s="8">
        <f t="shared" ca="1" si="65"/>
        <v>12.905167291032347</v>
      </c>
      <c r="M355" s="8">
        <f ca="1">mu*L354*dt</f>
        <v>3.2197403372531262E-2</v>
      </c>
      <c r="N355" s="8">
        <f t="shared" ca="1" si="66"/>
        <v>-5.9914613526894315E-3</v>
      </c>
      <c r="O355" s="8">
        <f t="shared" ca="1" si="67"/>
        <v>2.6205942019841832E-2</v>
      </c>
      <c r="Q355" s="7">
        <f t="shared" si="68"/>
        <v>17.200000000000109</v>
      </c>
      <c r="R355" s="8">
        <f t="shared" ca="1" si="69"/>
        <v>-4.9178237173799029E-6</v>
      </c>
      <c r="S355" s="8">
        <f t="shared" ca="1" si="70"/>
        <v>5.9693267830424608</v>
      </c>
      <c r="T355" s="8">
        <f t="shared" ca="1" si="71"/>
        <v>12.905167291032347</v>
      </c>
    </row>
    <row r="356" spans="1:20" x14ac:dyDescent="0.25">
      <c r="A356" s="7">
        <f>A355+dt</f>
        <v>17.25000000000011</v>
      </c>
      <c r="B356" s="8">
        <f t="shared" ca="1" si="60"/>
        <v>-5.0047756707888883E-3</v>
      </c>
      <c r="C356" s="8">
        <f ca="1">lambda*(a-B355)*dt</f>
        <v>4.9178237173799027E-7</v>
      </c>
      <c r="D356" s="8">
        <f ca="1">sigma*SQRT(dt)*_xlfn.NORM.S.INV(RAND())</f>
        <v>-5.0003496294432461E-3</v>
      </c>
      <c r="E356" s="8">
        <f t="shared" ca="1" si="61"/>
        <v>-4.9998578470715083E-3</v>
      </c>
      <c r="G356" s="8">
        <f t="shared" ca="1" si="62"/>
        <v>5.9668264334130177</v>
      </c>
      <c r="H356" s="8">
        <f>mu*dt</f>
        <v>2.5000000000000005E-3</v>
      </c>
      <c r="I356" s="8">
        <f t="shared" ca="1" si="63"/>
        <v>-5.0003496294432461E-3</v>
      </c>
      <c r="J356" s="8">
        <f t="shared" ca="1" si="64"/>
        <v>-2.5003496294432456E-3</v>
      </c>
      <c r="L356" s="8">
        <f t="shared" ca="1" si="65"/>
        <v>12.872899860778311</v>
      </c>
      <c r="M356" s="8">
        <f ca="1">mu*L355*dt</f>
        <v>3.2262918227580872E-2</v>
      </c>
      <c r="N356" s="8">
        <f t="shared" ca="1" si="66"/>
        <v>-6.4530348481616692E-2</v>
      </c>
      <c r="O356" s="8">
        <f t="shared" ca="1" si="67"/>
        <v>-3.226743025403582E-2</v>
      </c>
      <c r="Q356" s="7">
        <f t="shared" si="68"/>
        <v>17.25000000000011</v>
      </c>
      <c r="R356" s="8">
        <f t="shared" ca="1" si="69"/>
        <v>-5.0047756707888883E-3</v>
      </c>
      <c r="S356" s="8">
        <f t="shared" ca="1" si="70"/>
        <v>5.9668264334130177</v>
      </c>
      <c r="T356" s="8">
        <f t="shared" ca="1" si="71"/>
        <v>12.872899860778311</v>
      </c>
    </row>
    <row r="357" spans="1:20" x14ac:dyDescent="0.25">
      <c r="A357" s="7">
        <f>A356+dt</f>
        <v>17.300000000000111</v>
      </c>
      <c r="B357" s="8">
        <f t="shared" ca="1" si="60"/>
        <v>4.0776929475106411E-3</v>
      </c>
      <c r="C357" s="8">
        <f ca="1">lambda*(a-B356)*dt</f>
        <v>5.0047756707888888E-4</v>
      </c>
      <c r="D357" s="8">
        <f ca="1">sigma*SQRT(dt)*_xlfn.NORM.S.INV(RAND())</f>
        <v>8.5819910512206412E-3</v>
      </c>
      <c r="E357" s="8">
        <f t="shared" ca="1" si="61"/>
        <v>9.0824686182995294E-3</v>
      </c>
      <c r="G357" s="8">
        <f t="shared" ca="1" si="62"/>
        <v>5.9779084244642382</v>
      </c>
      <c r="H357" s="8">
        <f>mu*dt</f>
        <v>2.5000000000000005E-3</v>
      </c>
      <c r="I357" s="8">
        <f t="shared" ca="1" si="63"/>
        <v>8.5819910512206412E-3</v>
      </c>
      <c r="J357" s="8">
        <f t="shared" ca="1" si="64"/>
        <v>1.1081991051220642E-2</v>
      </c>
      <c r="L357" s="8">
        <f t="shared" ca="1" si="65"/>
        <v>13.015557221838716</v>
      </c>
      <c r="M357" s="8">
        <f ca="1">mu*L356*dt</f>
        <v>3.2182249651945785E-2</v>
      </c>
      <c r="N357" s="8">
        <f t="shared" ca="1" si="66"/>
        <v>0.11047511140845891</v>
      </c>
      <c r="O357" s="8">
        <f t="shared" ca="1" si="67"/>
        <v>0.14265736106040469</v>
      </c>
      <c r="Q357" s="7">
        <f t="shared" si="68"/>
        <v>17.300000000000111</v>
      </c>
      <c r="R357" s="8">
        <f t="shared" ca="1" si="69"/>
        <v>4.0776929475106411E-3</v>
      </c>
      <c r="S357" s="8">
        <f t="shared" ca="1" si="70"/>
        <v>5.9779084244642382</v>
      </c>
      <c r="T357" s="8">
        <f t="shared" ca="1" si="71"/>
        <v>13.015557221838716</v>
      </c>
    </row>
    <row r="358" spans="1:20" x14ac:dyDescent="0.25">
      <c r="A358" s="7">
        <f>A357+dt</f>
        <v>17.350000000000112</v>
      </c>
      <c r="B358" s="8">
        <f t="shared" ca="1" si="60"/>
        <v>1.8666142847719041E-2</v>
      </c>
      <c r="C358" s="8">
        <f ca="1">lambda*(a-B357)*dt</f>
        <v>-4.0776929475106415E-4</v>
      </c>
      <c r="D358" s="8">
        <f ca="1">sigma*SQRT(dt)*_xlfn.NORM.S.INV(RAND())</f>
        <v>1.4996219194959463E-2</v>
      </c>
      <c r="E358" s="8">
        <f t="shared" ca="1" si="61"/>
        <v>1.4588449900208399E-2</v>
      </c>
      <c r="G358" s="8">
        <f t="shared" ca="1" si="62"/>
        <v>5.9954046436591977</v>
      </c>
      <c r="H358" s="8">
        <f>mu*dt</f>
        <v>2.5000000000000005E-3</v>
      </c>
      <c r="I358" s="8">
        <f t="shared" ca="1" si="63"/>
        <v>1.4996219194959463E-2</v>
      </c>
      <c r="J358" s="8">
        <f t="shared" ca="1" si="64"/>
        <v>1.7496219194959466E-2</v>
      </c>
      <c r="L358" s="8">
        <f t="shared" ca="1" si="65"/>
        <v>13.243280263936544</v>
      </c>
      <c r="M358" s="8">
        <f ca="1">mu*L357*dt</f>
        <v>3.2538893054596792E-2</v>
      </c>
      <c r="N358" s="8">
        <f t="shared" ca="1" si="66"/>
        <v>0.195184149043231</v>
      </c>
      <c r="O358" s="8">
        <f t="shared" ca="1" si="67"/>
        <v>0.22772304209782779</v>
      </c>
      <c r="Q358" s="7">
        <f t="shared" si="68"/>
        <v>17.350000000000112</v>
      </c>
      <c r="R358" s="8">
        <f t="shared" ca="1" si="69"/>
        <v>1.8666142847719041E-2</v>
      </c>
      <c r="S358" s="8">
        <f t="shared" ca="1" si="70"/>
        <v>5.9954046436591977</v>
      </c>
      <c r="T358" s="8">
        <f t="shared" ca="1" si="71"/>
        <v>13.243280263936544</v>
      </c>
    </row>
    <row r="359" spans="1:20" x14ac:dyDescent="0.25">
      <c r="A359" s="7">
        <f>A358+dt</f>
        <v>17.400000000000112</v>
      </c>
      <c r="B359" s="8">
        <f t="shared" ca="1" si="60"/>
        <v>5.7017781759278185E-3</v>
      </c>
      <c r="C359" s="8">
        <f ca="1">lambda*(a-B358)*dt</f>
        <v>-1.8666142847719041E-3</v>
      </c>
      <c r="D359" s="8">
        <f ca="1">sigma*SQRT(dt)*_xlfn.NORM.S.INV(RAND())</f>
        <v>-1.1097750387019318E-2</v>
      </c>
      <c r="E359" s="8">
        <f t="shared" ca="1" si="61"/>
        <v>-1.2964364671791222E-2</v>
      </c>
      <c r="G359" s="8">
        <f t="shared" ca="1" si="62"/>
        <v>5.9868068932721785</v>
      </c>
      <c r="H359" s="8">
        <f>mu*dt</f>
        <v>2.5000000000000005E-3</v>
      </c>
      <c r="I359" s="8">
        <f t="shared" ca="1" si="63"/>
        <v>-1.1097750387019318E-2</v>
      </c>
      <c r="J359" s="8">
        <f t="shared" ca="1" si="64"/>
        <v>-8.5977503870193171E-3</v>
      </c>
      <c r="L359" s="8">
        <f t="shared" ca="1" si="65"/>
        <v>13.129417845921878</v>
      </c>
      <c r="M359" s="8">
        <f ca="1">mu*L358*dt</f>
        <v>3.3108200659841366E-2</v>
      </c>
      <c r="N359" s="8">
        <f t="shared" ca="1" si="66"/>
        <v>-0.14697061867450709</v>
      </c>
      <c r="O359" s="8">
        <f t="shared" ca="1" si="67"/>
        <v>-0.11386241801466572</v>
      </c>
      <c r="Q359" s="7">
        <f t="shared" si="68"/>
        <v>17.400000000000112</v>
      </c>
      <c r="R359" s="8">
        <f t="shared" ca="1" si="69"/>
        <v>5.7017781759278185E-3</v>
      </c>
      <c r="S359" s="8">
        <f t="shared" ca="1" si="70"/>
        <v>5.9868068932721785</v>
      </c>
      <c r="T359" s="8">
        <f t="shared" ca="1" si="71"/>
        <v>13.129417845921878</v>
      </c>
    </row>
    <row r="360" spans="1:20" x14ac:dyDescent="0.25">
      <c r="A360" s="7">
        <f>A359+dt</f>
        <v>17.450000000000113</v>
      </c>
      <c r="B360" s="8">
        <f t="shared" ca="1" si="60"/>
        <v>1.9203196947417928E-2</v>
      </c>
      <c r="C360" s="8">
        <f ca="1">lambda*(a-B359)*dt</f>
        <v>-5.7017781759278183E-4</v>
      </c>
      <c r="D360" s="8">
        <f ca="1">sigma*SQRT(dt)*_xlfn.NORM.S.INV(RAND())</f>
        <v>1.4071596589082891E-2</v>
      </c>
      <c r="E360" s="8">
        <f t="shared" ca="1" si="61"/>
        <v>1.3501418771490109E-2</v>
      </c>
      <c r="G360" s="8">
        <f t="shared" ca="1" si="62"/>
        <v>6.0033784898612614</v>
      </c>
      <c r="H360" s="8">
        <f>mu*dt</f>
        <v>2.5000000000000005E-3</v>
      </c>
      <c r="I360" s="8">
        <f t="shared" ca="1" si="63"/>
        <v>1.4071596589082891E-2</v>
      </c>
      <c r="J360" s="8">
        <f t="shared" ca="1" si="64"/>
        <v>1.6571596589082891E-2</v>
      </c>
      <c r="L360" s="8">
        <f t="shared" ca="1" si="65"/>
        <v>13.346993261914001</v>
      </c>
      <c r="M360" s="8">
        <f ca="1">mu*L359*dt</f>
        <v>3.2823544614804703E-2</v>
      </c>
      <c r="N360" s="8">
        <f t="shared" ca="1" si="66"/>
        <v>0.18475187137731833</v>
      </c>
      <c r="O360" s="8">
        <f t="shared" ca="1" si="67"/>
        <v>0.21757541599212304</v>
      </c>
      <c r="Q360" s="7">
        <f t="shared" si="68"/>
        <v>17.450000000000113</v>
      </c>
      <c r="R360" s="8">
        <f t="shared" ca="1" si="69"/>
        <v>1.9203196947417928E-2</v>
      </c>
      <c r="S360" s="8">
        <f t="shared" ca="1" si="70"/>
        <v>6.0033784898612614</v>
      </c>
      <c r="T360" s="8">
        <f t="shared" ca="1" si="71"/>
        <v>13.346993261914001</v>
      </c>
    </row>
    <row r="361" spans="1:20" x14ac:dyDescent="0.25">
      <c r="A361" s="7">
        <f>A360+dt</f>
        <v>17.500000000000114</v>
      </c>
      <c r="B361" s="8">
        <f t="shared" ca="1" si="60"/>
        <v>2.1492460405191184E-2</v>
      </c>
      <c r="C361" s="8">
        <f ca="1">lambda*(a-B360)*dt</f>
        <v>-1.9203196947417929E-3</v>
      </c>
      <c r="D361" s="8">
        <f ca="1">sigma*SQRT(dt)*_xlfn.NORM.S.INV(RAND())</f>
        <v>4.2095831525150486E-3</v>
      </c>
      <c r="E361" s="8">
        <f t="shared" ca="1" si="61"/>
        <v>2.2892634577732556E-3</v>
      </c>
      <c r="G361" s="8">
        <f t="shared" ca="1" si="62"/>
        <v>6.0100880730137769</v>
      </c>
      <c r="H361" s="8">
        <f>mu*dt</f>
        <v>2.5000000000000005E-3</v>
      </c>
      <c r="I361" s="8">
        <f t="shared" ca="1" si="63"/>
        <v>4.2095831525150486E-3</v>
      </c>
      <c r="J361" s="8">
        <f t="shared" ca="1" si="64"/>
        <v>6.7095831525150491E-3</v>
      </c>
      <c r="L361" s="8">
        <f t="shared" ca="1" si="65"/>
        <v>13.43654602304087</v>
      </c>
      <c r="M361" s="8">
        <f ca="1">mu*L360*dt</f>
        <v>3.3367483154785008E-2</v>
      </c>
      <c r="N361" s="8">
        <f t="shared" ca="1" si="66"/>
        <v>5.618527797208505E-2</v>
      </c>
      <c r="O361" s="8">
        <f t="shared" ca="1" si="67"/>
        <v>8.9552761126870051E-2</v>
      </c>
      <c r="Q361" s="7">
        <f t="shared" si="68"/>
        <v>17.500000000000114</v>
      </c>
      <c r="R361" s="8">
        <f t="shared" ca="1" si="69"/>
        <v>2.1492460405191184E-2</v>
      </c>
      <c r="S361" s="8">
        <f t="shared" ca="1" si="70"/>
        <v>6.0100880730137769</v>
      </c>
      <c r="T361" s="8">
        <f t="shared" ca="1" si="71"/>
        <v>13.43654602304087</v>
      </c>
    </row>
    <row r="362" spans="1:20" x14ac:dyDescent="0.25">
      <c r="A362" s="7">
        <f>A361+dt</f>
        <v>17.550000000000114</v>
      </c>
      <c r="B362" s="8">
        <f t="shared" ca="1" si="60"/>
        <v>1.3882342858125174E-2</v>
      </c>
      <c r="C362" s="8">
        <f ca="1">lambda*(a-B361)*dt</f>
        <v>-2.1492460405191185E-3</v>
      </c>
      <c r="D362" s="8">
        <f ca="1">sigma*SQRT(dt)*_xlfn.NORM.S.INV(RAND())</f>
        <v>-5.4608715065468912E-3</v>
      </c>
      <c r="E362" s="8">
        <f t="shared" ca="1" si="61"/>
        <v>-7.6101175470660101E-3</v>
      </c>
      <c r="G362" s="8">
        <f t="shared" ca="1" si="62"/>
        <v>6.0071272015072301</v>
      </c>
      <c r="H362" s="8">
        <f>mu*dt</f>
        <v>2.5000000000000005E-3</v>
      </c>
      <c r="I362" s="8">
        <f t="shared" ca="1" si="63"/>
        <v>-5.4608715065468912E-3</v>
      </c>
      <c r="J362" s="8">
        <f t="shared" ca="1" si="64"/>
        <v>-2.9608715065468907E-3</v>
      </c>
      <c r="L362" s="8">
        <f t="shared" ca="1" si="65"/>
        <v>13.396762136774843</v>
      </c>
      <c r="M362" s="8">
        <f ca="1">mu*L361*dt</f>
        <v>3.3591365057602178E-2</v>
      </c>
      <c r="N362" s="8">
        <f t="shared" ca="1" si="66"/>
        <v>-7.3375251323629834E-2</v>
      </c>
      <c r="O362" s="8">
        <f t="shared" ca="1" si="67"/>
        <v>-3.9783886266027656E-2</v>
      </c>
      <c r="Q362" s="7">
        <f t="shared" si="68"/>
        <v>17.550000000000114</v>
      </c>
      <c r="R362" s="8">
        <f t="shared" ca="1" si="69"/>
        <v>1.3882342858125174E-2</v>
      </c>
      <c r="S362" s="8">
        <f t="shared" ca="1" si="70"/>
        <v>6.0071272015072301</v>
      </c>
      <c r="T362" s="8">
        <f t="shared" ca="1" si="71"/>
        <v>13.396762136774843</v>
      </c>
    </row>
    <row r="363" spans="1:20" x14ac:dyDescent="0.25">
      <c r="A363" s="7">
        <f>A362+dt</f>
        <v>17.600000000000115</v>
      </c>
      <c r="B363" s="8">
        <f t="shared" ca="1" si="60"/>
        <v>3.1465525952236294E-3</v>
      </c>
      <c r="C363" s="8">
        <f ca="1">lambda*(a-B362)*dt</f>
        <v>-1.3882342858125174E-3</v>
      </c>
      <c r="D363" s="8">
        <f ca="1">sigma*SQRT(dt)*_xlfn.NORM.S.INV(RAND())</f>
        <v>-9.3475559770890265E-3</v>
      </c>
      <c r="E363" s="8">
        <f t="shared" ca="1" si="61"/>
        <v>-1.0735790262901545E-2</v>
      </c>
      <c r="G363" s="8">
        <f t="shared" ca="1" si="62"/>
        <v>6.0002796455301413</v>
      </c>
      <c r="H363" s="8">
        <f>mu*dt</f>
        <v>2.5000000000000005E-3</v>
      </c>
      <c r="I363" s="8">
        <f t="shared" ca="1" si="63"/>
        <v>-9.3475559770890265E-3</v>
      </c>
      <c r="J363" s="8">
        <f t="shared" ca="1" si="64"/>
        <v>-6.847555977089026E-3</v>
      </c>
      <c r="L363" s="8">
        <f t="shared" ca="1" si="65"/>
        <v>13.305027058131531</v>
      </c>
      <c r="M363" s="8">
        <f ca="1">mu*L362*dt</f>
        <v>3.3491905341937113E-2</v>
      </c>
      <c r="N363" s="8">
        <f t="shared" ca="1" si="66"/>
        <v>-0.12522698398524965</v>
      </c>
      <c r="O363" s="8">
        <f t="shared" ca="1" si="67"/>
        <v>-9.173507864331254E-2</v>
      </c>
      <c r="Q363" s="7">
        <f t="shared" si="68"/>
        <v>17.600000000000115</v>
      </c>
      <c r="R363" s="8">
        <f t="shared" ca="1" si="69"/>
        <v>3.1465525952236294E-3</v>
      </c>
      <c r="S363" s="8">
        <f t="shared" ca="1" si="70"/>
        <v>6.0002796455301413</v>
      </c>
      <c r="T363" s="8">
        <f t="shared" ca="1" si="71"/>
        <v>13.305027058131531</v>
      </c>
    </row>
    <row r="364" spans="1:20" x14ac:dyDescent="0.25">
      <c r="A364" s="7">
        <f>A363+dt</f>
        <v>17.650000000000116</v>
      </c>
      <c r="B364" s="8">
        <f t="shared" ca="1" si="60"/>
        <v>-3.0474546578718991E-3</v>
      </c>
      <c r="C364" s="8">
        <f ca="1">lambda*(a-B363)*dt</f>
        <v>-3.1465525952236297E-4</v>
      </c>
      <c r="D364" s="8">
        <f ca="1">sigma*SQRT(dt)*_xlfn.NORM.S.INV(RAND())</f>
        <v>-5.8793519935731653E-3</v>
      </c>
      <c r="E364" s="8">
        <f t="shared" ca="1" si="61"/>
        <v>-6.1940072530955285E-3</v>
      </c>
      <c r="G364" s="8">
        <f t="shared" ca="1" si="62"/>
        <v>5.9969002935365685</v>
      </c>
      <c r="H364" s="8">
        <f>mu*dt</f>
        <v>2.5000000000000005E-3</v>
      </c>
      <c r="I364" s="8">
        <f t="shared" ca="1" si="63"/>
        <v>-5.8793519935731653E-3</v>
      </c>
      <c r="J364" s="8">
        <f t="shared" ca="1" si="64"/>
        <v>-3.3793519935731648E-3</v>
      </c>
      <c r="L364" s="8">
        <f t="shared" ca="1" si="65"/>
        <v>13.260064688418089</v>
      </c>
      <c r="M364" s="8">
        <f ca="1">mu*L363*dt</f>
        <v>3.3262567645328832E-2</v>
      </c>
      <c r="N364" s="8">
        <f t="shared" ca="1" si="66"/>
        <v>-7.8224937358770522E-2</v>
      </c>
      <c r="O364" s="8">
        <f t="shared" ca="1" si="67"/>
        <v>-4.496236971344169E-2</v>
      </c>
      <c r="Q364" s="7">
        <f t="shared" si="68"/>
        <v>17.650000000000116</v>
      </c>
      <c r="R364" s="8">
        <f t="shared" ca="1" si="69"/>
        <v>-3.0474546578718991E-3</v>
      </c>
      <c r="S364" s="8">
        <f t="shared" ca="1" si="70"/>
        <v>5.9969002935365685</v>
      </c>
      <c r="T364" s="8">
        <f t="shared" ca="1" si="71"/>
        <v>13.260064688418089</v>
      </c>
    </row>
    <row r="365" spans="1:20" x14ac:dyDescent="0.25">
      <c r="A365" s="7">
        <f>A364+dt</f>
        <v>17.700000000000117</v>
      </c>
      <c r="B365" s="8">
        <f t="shared" ca="1" si="60"/>
        <v>1.5029543245355477E-3</v>
      </c>
      <c r="C365" s="8">
        <f ca="1">lambda*(a-B364)*dt</f>
        <v>3.0474546578718994E-4</v>
      </c>
      <c r="D365" s="8">
        <f ca="1">sigma*SQRT(dt)*_xlfn.NORM.S.INV(RAND())</f>
        <v>4.2456635166202572E-3</v>
      </c>
      <c r="E365" s="8">
        <f t="shared" ca="1" si="61"/>
        <v>4.5504089824074468E-3</v>
      </c>
      <c r="G365" s="8">
        <f t="shared" ca="1" si="62"/>
        <v>6.0036459570531884</v>
      </c>
      <c r="H365" s="8">
        <f>mu*dt</f>
        <v>2.5000000000000005E-3</v>
      </c>
      <c r="I365" s="8">
        <f t="shared" ca="1" si="63"/>
        <v>4.2456635166202572E-3</v>
      </c>
      <c r="J365" s="8">
        <f t="shared" ca="1" si="64"/>
        <v>6.7456635166202577E-3</v>
      </c>
      <c r="L365" s="8">
        <f t="shared" ca="1" si="65"/>
        <v>13.349512623014775</v>
      </c>
      <c r="M365" s="8">
        <f ca="1">mu*L364*dt</f>
        <v>3.3150161721045228E-2</v>
      </c>
      <c r="N365" s="8">
        <f t="shared" ca="1" si="66"/>
        <v>5.6297772875641236E-2</v>
      </c>
      <c r="O365" s="8">
        <f t="shared" ca="1" si="67"/>
        <v>8.9447934596686457E-2</v>
      </c>
      <c r="Q365" s="7">
        <f t="shared" si="68"/>
        <v>17.700000000000117</v>
      </c>
      <c r="R365" s="8">
        <f t="shared" ca="1" si="69"/>
        <v>1.5029543245355477E-3</v>
      </c>
      <c r="S365" s="8">
        <f t="shared" ca="1" si="70"/>
        <v>6.0036459570531884</v>
      </c>
      <c r="T365" s="8">
        <f t="shared" ca="1" si="71"/>
        <v>13.349512623014775</v>
      </c>
    </row>
    <row r="366" spans="1:20" x14ac:dyDescent="0.25">
      <c r="A366" s="7">
        <f>A365+dt</f>
        <v>17.750000000000117</v>
      </c>
      <c r="B366" s="8">
        <f t="shared" ca="1" si="60"/>
        <v>9.2555470685687646E-3</v>
      </c>
      <c r="C366" s="8">
        <f ca="1">lambda*(a-B365)*dt</f>
        <v>-1.5029543245355479E-4</v>
      </c>
      <c r="D366" s="8">
        <f ca="1">sigma*SQRT(dt)*_xlfn.NORM.S.INV(RAND())</f>
        <v>7.9028881764867717E-3</v>
      </c>
      <c r="E366" s="8">
        <f t="shared" ca="1" si="61"/>
        <v>7.752592744033217E-3</v>
      </c>
      <c r="G366" s="8">
        <f t="shared" ca="1" si="62"/>
        <v>6.0140488452296754</v>
      </c>
      <c r="H366" s="8">
        <f>mu*dt</f>
        <v>2.5000000000000005E-3</v>
      </c>
      <c r="I366" s="8">
        <f t="shared" ca="1" si="63"/>
        <v>7.9028881764867717E-3</v>
      </c>
      <c r="J366" s="8">
        <f t="shared" ca="1" si="64"/>
        <v>1.0402888176486772E-2</v>
      </c>
      <c r="L366" s="8">
        <f t="shared" ca="1" si="65"/>
        <v>13.488386110042596</v>
      </c>
      <c r="M366" s="8">
        <f ca="1">mu*L365*dt</f>
        <v>3.3373781557536945E-2</v>
      </c>
      <c r="N366" s="8">
        <f t="shared" ca="1" si="66"/>
        <v>0.10549970547028437</v>
      </c>
      <c r="O366" s="8">
        <f t="shared" ca="1" si="67"/>
        <v>0.13887348702782132</v>
      </c>
      <c r="Q366" s="7">
        <f t="shared" si="68"/>
        <v>17.750000000000117</v>
      </c>
      <c r="R366" s="8">
        <f t="shared" ca="1" si="69"/>
        <v>9.2555470685687646E-3</v>
      </c>
      <c r="S366" s="8">
        <f t="shared" ca="1" si="70"/>
        <v>6.0140488452296754</v>
      </c>
      <c r="T366" s="8">
        <f t="shared" ca="1" si="71"/>
        <v>13.488386110042596</v>
      </c>
    </row>
    <row r="367" spans="1:20" x14ac:dyDescent="0.25">
      <c r="A367" s="7">
        <f>A366+dt</f>
        <v>17.800000000000118</v>
      </c>
      <c r="B367" s="8">
        <f t="shared" ca="1" si="60"/>
        <v>2.2855171748783869E-2</v>
      </c>
      <c r="C367" s="8">
        <f ca="1">lambda*(a-B366)*dt</f>
        <v>-9.2555470685687651E-4</v>
      </c>
      <c r="D367" s="8">
        <f ca="1">sigma*SQRT(dt)*_xlfn.NORM.S.INV(RAND())</f>
        <v>1.4525179387071983E-2</v>
      </c>
      <c r="E367" s="8">
        <f t="shared" ca="1" si="61"/>
        <v>1.3599624680215106E-2</v>
      </c>
      <c r="G367" s="8">
        <f t="shared" ca="1" si="62"/>
        <v>6.0310740246167471</v>
      </c>
      <c r="H367" s="8">
        <f>mu*dt</f>
        <v>2.5000000000000005E-3</v>
      </c>
      <c r="I367" s="8">
        <f t="shared" ca="1" si="63"/>
        <v>1.4525179387071983E-2</v>
      </c>
      <c r="J367" s="8">
        <f t="shared" ca="1" si="64"/>
        <v>1.7025179387071984E-2</v>
      </c>
      <c r="L367" s="8">
        <f t="shared" ca="1" si="65"/>
        <v>13.718028303208161</v>
      </c>
      <c r="M367" s="8">
        <f ca="1">mu*L366*dt</f>
        <v>3.3720965275106492E-2</v>
      </c>
      <c r="N367" s="8">
        <f t="shared" ca="1" si="66"/>
        <v>0.19592122789045877</v>
      </c>
      <c r="O367" s="8">
        <f t="shared" ca="1" si="67"/>
        <v>0.22964219316556525</v>
      </c>
      <c r="Q367" s="7">
        <f t="shared" si="68"/>
        <v>17.800000000000118</v>
      </c>
      <c r="R367" s="8">
        <f t="shared" ca="1" si="69"/>
        <v>2.2855171748783869E-2</v>
      </c>
      <c r="S367" s="8">
        <f t="shared" ca="1" si="70"/>
        <v>6.0310740246167471</v>
      </c>
      <c r="T367" s="8">
        <f t="shared" ca="1" si="71"/>
        <v>13.718028303208161</v>
      </c>
    </row>
    <row r="368" spans="1:20" x14ac:dyDescent="0.25">
      <c r="A368" s="7">
        <f>A367+dt</f>
        <v>17.850000000000119</v>
      </c>
      <c r="B368" s="8">
        <f t="shared" ca="1" si="60"/>
        <v>3.6950077880983437E-2</v>
      </c>
      <c r="C368" s="8">
        <f ca="1">lambda*(a-B367)*dt</f>
        <v>-2.2855171748783869E-3</v>
      </c>
      <c r="D368" s="8">
        <f ca="1">sigma*SQRT(dt)*_xlfn.NORM.S.INV(RAND())</f>
        <v>1.6380423307077955E-2</v>
      </c>
      <c r="E368" s="8">
        <f t="shared" ca="1" si="61"/>
        <v>1.4094906132199568E-2</v>
      </c>
      <c r="G368" s="8">
        <f t="shared" ca="1" si="62"/>
        <v>6.0499544479238248</v>
      </c>
      <c r="H368" s="8">
        <f>mu*dt</f>
        <v>2.5000000000000005E-3</v>
      </c>
      <c r="I368" s="8">
        <f t="shared" ca="1" si="63"/>
        <v>1.6380423307077955E-2</v>
      </c>
      <c r="J368" s="8">
        <f t="shared" ca="1" si="64"/>
        <v>1.8880423307077954E-2</v>
      </c>
      <c r="L368" s="8">
        <f t="shared" ca="1" si="65"/>
        <v>13.977030484511207</v>
      </c>
      <c r="M368" s="8">
        <f ca="1">mu*L367*dt</f>
        <v>3.4295070758020407E-2</v>
      </c>
      <c r="N368" s="8">
        <f t="shared" ca="1" si="66"/>
        <v>0.22470711054502601</v>
      </c>
      <c r="O368" s="8">
        <f t="shared" ca="1" si="67"/>
        <v>0.25900218130304642</v>
      </c>
      <c r="Q368" s="7">
        <f t="shared" si="68"/>
        <v>17.850000000000119</v>
      </c>
      <c r="R368" s="8">
        <f t="shared" ca="1" si="69"/>
        <v>3.6950077880983437E-2</v>
      </c>
      <c r="S368" s="8">
        <f t="shared" ca="1" si="70"/>
        <v>6.0499544479238248</v>
      </c>
      <c r="T368" s="8">
        <f t="shared" ca="1" si="71"/>
        <v>13.977030484511207</v>
      </c>
    </row>
    <row r="369" spans="1:20" x14ac:dyDescent="0.25">
      <c r="A369" s="7">
        <f>A368+dt</f>
        <v>17.900000000000119</v>
      </c>
      <c r="B369" s="8">
        <f t="shared" ca="1" si="60"/>
        <v>5.9697451775845074E-2</v>
      </c>
      <c r="C369" s="8">
        <f ca="1">lambda*(a-B368)*dt</f>
        <v>-3.6950077880983437E-3</v>
      </c>
      <c r="D369" s="8">
        <f ca="1">sigma*SQRT(dt)*_xlfn.NORM.S.INV(RAND())</f>
        <v>2.6442381682959981E-2</v>
      </c>
      <c r="E369" s="8">
        <f t="shared" ca="1" si="61"/>
        <v>2.2747373894861637E-2</v>
      </c>
      <c r="G369" s="8">
        <f t="shared" ca="1" si="62"/>
        <v>6.0788968296067845</v>
      </c>
      <c r="H369" s="8">
        <f>mu*dt</f>
        <v>2.5000000000000005E-3</v>
      </c>
      <c r="I369" s="8">
        <f t="shared" ca="1" si="63"/>
        <v>2.6442381682959981E-2</v>
      </c>
      <c r="J369" s="8">
        <f t="shared" ca="1" si="64"/>
        <v>2.8942381682959983E-2</v>
      </c>
      <c r="L369" s="8">
        <f t="shared" ca="1" si="65"/>
        <v>14.381559035588298</v>
      </c>
      <c r="M369" s="8">
        <f ca="1">mu*L368*dt</f>
        <v>3.4942576211278019E-2</v>
      </c>
      <c r="N369" s="8">
        <f t="shared" ca="1" si="66"/>
        <v>0.36958597486581241</v>
      </c>
      <c r="O369" s="8">
        <f t="shared" ca="1" si="67"/>
        <v>0.4045285510770904</v>
      </c>
      <c r="Q369" s="7">
        <f t="shared" si="68"/>
        <v>17.900000000000119</v>
      </c>
      <c r="R369" s="8">
        <f t="shared" ca="1" si="69"/>
        <v>5.9697451775845074E-2</v>
      </c>
      <c r="S369" s="8">
        <f t="shared" ca="1" si="70"/>
        <v>6.0788968296067845</v>
      </c>
      <c r="T369" s="8">
        <f t="shared" ca="1" si="71"/>
        <v>14.381559035588298</v>
      </c>
    </row>
    <row r="370" spans="1:20" x14ac:dyDescent="0.25">
      <c r="A370" s="7">
        <f>A369+dt</f>
        <v>17.95000000000012</v>
      </c>
      <c r="B370" s="8">
        <f t="shared" ca="1" si="60"/>
        <v>2.4138619069473753E-2</v>
      </c>
      <c r="C370" s="8">
        <f ca="1">lambda*(a-B369)*dt</f>
        <v>-5.9697451775845081E-3</v>
      </c>
      <c r="D370" s="8">
        <f ca="1">sigma*SQRT(dt)*_xlfn.NORM.S.INV(RAND())</f>
        <v>-2.958908752878681E-2</v>
      </c>
      <c r="E370" s="8">
        <f t="shared" ca="1" si="61"/>
        <v>-3.5558832706371321E-2</v>
      </c>
      <c r="G370" s="8">
        <f t="shared" ca="1" si="62"/>
        <v>6.0518077420779974</v>
      </c>
      <c r="H370" s="8">
        <f>mu*dt</f>
        <v>2.5000000000000005E-3</v>
      </c>
      <c r="I370" s="8">
        <f t="shared" ca="1" si="63"/>
        <v>-2.958908752878681E-2</v>
      </c>
      <c r="J370" s="8">
        <f t="shared" ca="1" si="64"/>
        <v>-2.7089087528786811E-2</v>
      </c>
      <c r="L370" s="8">
        <f t="shared" ca="1" si="65"/>
        <v>13.991975724072832</v>
      </c>
      <c r="M370" s="8">
        <f ca="1">mu*L369*dt</f>
        <v>3.5953897588970746E-2</v>
      </c>
      <c r="N370" s="8">
        <f t="shared" ca="1" si="66"/>
        <v>-0.42553720910443699</v>
      </c>
      <c r="O370" s="8">
        <f t="shared" ca="1" si="67"/>
        <v>-0.38958331151546621</v>
      </c>
      <c r="Q370" s="7">
        <f t="shared" si="68"/>
        <v>17.95000000000012</v>
      </c>
      <c r="R370" s="8">
        <f t="shared" ca="1" si="69"/>
        <v>2.4138619069473753E-2</v>
      </c>
      <c r="S370" s="8">
        <f t="shared" ca="1" si="70"/>
        <v>6.0518077420779974</v>
      </c>
      <c r="T370" s="8">
        <f t="shared" ca="1" si="71"/>
        <v>13.991975724072832</v>
      </c>
    </row>
    <row r="371" spans="1:20" x14ac:dyDescent="0.25">
      <c r="A371" s="7">
        <f>A370+dt</f>
        <v>18.000000000000121</v>
      </c>
      <c r="B371" s="8">
        <f t="shared" ca="1" si="60"/>
        <v>1.4982615859890351E-2</v>
      </c>
      <c r="C371" s="8">
        <f ca="1">lambda*(a-B370)*dt</f>
        <v>-2.4138619069473755E-3</v>
      </c>
      <c r="D371" s="8">
        <f ca="1">sigma*SQRT(dt)*_xlfn.NORM.S.INV(RAND())</f>
        <v>-6.7421413026360257E-3</v>
      </c>
      <c r="E371" s="8">
        <f t="shared" ca="1" si="61"/>
        <v>-9.1560032095834021E-3</v>
      </c>
      <c r="G371" s="8">
        <f t="shared" ca="1" si="62"/>
        <v>6.0475656007753615</v>
      </c>
      <c r="H371" s="8">
        <f>mu*dt</f>
        <v>2.5000000000000005E-3</v>
      </c>
      <c r="I371" s="8">
        <f t="shared" ca="1" si="63"/>
        <v>-6.7421413026360257E-3</v>
      </c>
      <c r="J371" s="8">
        <f t="shared" ca="1" si="64"/>
        <v>-4.2421413026360252E-3</v>
      </c>
      <c r="L371" s="8">
        <f t="shared" ca="1" si="65"/>
        <v>13.932619785948262</v>
      </c>
      <c r="M371" s="8">
        <f ca="1">mu*L370*dt</f>
        <v>3.4979939310182083E-2</v>
      </c>
      <c r="N371" s="8">
        <f t="shared" ca="1" si="66"/>
        <v>-9.4335877434752052E-2</v>
      </c>
      <c r="O371" s="8">
        <f t="shared" ca="1" si="67"/>
        <v>-5.9355938124569969E-2</v>
      </c>
      <c r="Q371" s="7">
        <f t="shared" si="68"/>
        <v>18.000000000000121</v>
      </c>
      <c r="R371" s="8">
        <f t="shared" ca="1" si="69"/>
        <v>1.4982615859890351E-2</v>
      </c>
      <c r="S371" s="8">
        <f t="shared" ca="1" si="70"/>
        <v>6.0475656007753615</v>
      </c>
      <c r="T371" s="8">
        <f t="shared" ca="1" si="71"/>
        <v>13.932619785948262</v>
      </c>
    </row>
    <row r="372" spans="1:20" x14ac:dyDescent="0.25">
      <c r="A372" s="7">
        <f>A371+dt</f>
        <v>18.050000000000122</v>
      </c>
      <c r="B372" s="8">
        <f t="shared" ca="1" si="60"/>
        <v>1.2433998597554057E-2</v>
      </c>
      <c r="C372" s="8">
        <f ca="1">lambda*(a-B371)*dt</f>
        <v>-1.4982615859890352E-3</v>
      </c>
      <c r="D372" s="8">
        <f ca="1">sigma*SQRT(dt)*_xlfn.NORM.S.INV(RAND())</f>
        <v>-1.0503556763472592E-3</v>
      </c>
      <c r="E372" s="8">
        <f t="shared" ca="1" si="61"/>
        <v>-2.5486172623362946E-3</v>
      </c>
      <c r="G372" s="8">
        <f t="shared" ca="1" si="62"/>
        <v>6.0490152450990147</v>
      </c>
      <c r="H372" s="8">
        <f>mu*dt</f>
        <v>2.5000000000000005E-3</v>
      </c>
      <c r="I372" s="8">
        <f t="shared" ca="1" si="63"/>
        <v>-1.0503556763472592E-3</v>
      </c>
      <c r="J372" s="8">
        <f t="shared" ca="1" si="64"/>
        <v>1.4496443236527413E-3</v>
      </c>
      <c r="L372" s="8">
        <f t="shared" ca="1" si="65"/>
        <v>13.952817129134573</v>
      </c>
      <c r="M372" s="8">
        <f ca="1">mu*L371*dt</f>
        <v>3.4831549464870659E-2</v>
      </c>
      <c r="N372" s="8">
        <f t="shared" ca="1" si="66"/>
        <v>-1.4634206278558893E-2</v>
      </c>
      <c r="O372" s="8">
        <f t="shared" ca="1" si="67"/>
        <v>2.0197343186311764E-2</v>
      </c>
      <c r="Q372" s="7">
        <f t="shared" si="68"/>
        <v>18.050000000000122</v>
      </c>
      <c r="R372" s="8">
        <f t="shared" ca="1" si="69"/>
        <v>1.2433998597554057E-2</v>
      </c>
      <c r="S372" s="8">
        <f t="shared" ca="1" si="70"/>
        <v>6.0490152450990147</v>
      </c>
      <c r="T372" s="8">
        <f t="shared" ca="1" si="71"/>
        <v>13.952817129134573</v>
      </c>
    </row>
    <row r="373" spans="1:20" x14ac:dyDescent="0.25">
      <c r="A373" s="7">
        <f>A372+dt</f>
        <v>18.100000000000122</v>
      </c>
      <c r="B373" s="8">
        <f t="shared" ca="1" si="60"/>
        <v>9.7560533655603483E-3</v>
      </c>
      <c r="C373" s="8">
        <f ca="1">lambda*(a-B372)*dt</f>
        <v>-1.2433998597554058E-3</v>
      </c>
      <c r="D373" s="8">
        <f ca="1">sigma*SQRT(dt)*_xlfn.NORM.S.INV(RAND())</f>
        <v>-1.434545372238302E-3</v>
      </c>
      <c r="E373" s="8">
        <f t="shared" ca="1" si="61"/>
        <v>-2.6779452319937078E-3</v>
      </c>
      <c r="G373" s="8">
        <f t="shared" ca="1" si="62"/>
        <v>6.0500806997267764</v>
      </c>
      <c r="H373" s="8">
        <f>mu*dt</f>
        <v>2.5000000000000005E-3</v>
      </c>
      <c r="I373" s="8">
        <f t="shared" ca="1" si="63"/>
        <v>-1.434545372238302E-3</v>
      </c>
      <c r="J373" s="8">
        <f t="shared" ca="1" si="64"/>
        <v>1.0654546277616985E-3</v>
      </c>
      <c r="L373" s="8">
        <f t="shared" ca="1" si="65"/>
        <v>13.967683222715122</v>
      </c>
      <c r="M373" s="8">
        <f ca="1">mu*L372*dt</f>
        <v>3.4882042822836433E-2</v>
      </c>
      <c r="N373" s="8">
        <f t="shared" ca="1" si="66"/>
        <v>-2.0015949242287313E-2</v>
      </c>
      <c r="O373" s="8">
        <f t="shared" ca="1" si="67"/>
        <v>1.486609358054912E-2</v>
      </c>
      <c r="Q373" s="7">
        <f t="shared" si="68"/>
        <v>18.100000000000122</v>
      </c>
      <c r="R373" s="8">
        <f t="shared" ca="1" si="69"/>
        <v>9.7560533655603483E-3</v>
      </c>
      <c r="S373" s="8">
        <f t="shared" ca="1" si="70"/>
        <v>6.0500806997267764</v>
      </c>
      <c r="T373" s="8">
        <f t="shared" ca="1" si="71"/>
        <v>13.967683222715122</v>
      </c>
    </row>
    <row r="374" spans="1:20" x14ac:dyDescent="0.25">
      <c r="A374" s="7">
        <f>A373+dt</f>
        <v>18.150000000000123</v>
      </c>
      <c r="B374" s="8">
        <f t="shared" ca="1" si="60"/>
        <v>1.7908252564710896E-2</v>
      </c>
      <c r="C374" s="8">
        <f ca="1">lambda*(a-B373)*dt</f>
        <v>-9.7560533655603483E-4</v>
      </c>
      <c r="D374" s="8">
        <f ca="1">sigma*SQRT(dt)*_xlfn.NORM.S.INV(RAND())</f>
        <v>9.1278045357065796E-3</v>
      </c>
      <c r="E374" s="8">
        <f t="shared" ca="1" si="61"/>
        <v>8.1521991991505456E-3</v>
      </c>
      <c r="G374" s="8">
        <f t="shared" ca="1" si="62"/>
        <v>6.0617085042624828</v>
      </c>
      <c r="H374" s="8">
        <f>mu*dt</f>
        <v>2.5000000000000005E-3</v>
      </c>
      <c r="I374" s="8">
        <f t="shared" ca="1" si="63"/>
        <v>9.1278045357065796E-3</v>
      </c>
      <c r="J374" s="8">
        <f t="shared" ca="1" si="64"/>
        <v>1.162780453570658E-2</v>
      </c>
      <c r="L374" s="8">
        <f t="shared" ca="1" si="65"/>
        <v>14.130096713045521</v>
      </c>
      <c r="M374" s="8">
        <f ca="1">mu*L373*dt</f>
        <v>3.4919208056787811E-2</v>
      </c>
      <c r="N374" s="8">
        <f t="shared" ca="1" si="66"/>
        <v>0.12749428227361179</v>
      </c>
      <c r="O374" s="8">
        <f t="shared" ca="1" si="67"/>
        <v>0.16241349033039959</v>
      </c>
      <c r="Q374" s="7">
        <f t="shared" si="68"/>
        <v>18.150000000000123</v>
      </c>
      <c r="R374" s="8">
        <f t="shared" ca="1" si="69"/>
        <v>1.7908252564710896E-2</v>
      </c>
      <c r="S374" s="8">
        <f t="shared" ca="1" si="70"/>
        <v>6.0617085042624828</v>
      </c>
      <c r="T374" s="8">
        <f t="shared" ca="1" si="71"/>
        <v>14.130096713045521</v>
      </c>
    </row>
    <row r="375" spans="1:20" x14ac:dyDescent="0.25">
      <c r="A375" s="7">
        <f>A374+dt</f>
        <v>18.200000000000124</v>
      </c>
      <c r="B375" s="8">
        <f t="shared" ca="1" si="60"/>
        <v>1.8801684377121562E-2</v>
      </c>
      <c r="C375" s="8">
        <f ca="1">lambda*(a-B374)*dt</f>
        <v>-1.7908252564710896E-3</v>
      </c>
      <c r="D375" s="8">
        <f ca="1">sigma*SQRT(dt)*_xlfn.NORM.S.INV(RAND())</f>
        <v>2.6842570688817577E-3</v>
      </c>
      <c r="E375" s="8">
        <f t="shared" ca="1" si="61"/>
        <v>8.9343181241066812E-4</v>
      </c>
      <c r="G375" s="8">
        <f t="shared" ca="1" si="62"/>
        <v>6.0668927613313643</v>
      </c>
      <c r="H375" s="8">
        <f>mu*dt</f>
        <v>2.5000000000000005E-3</v>
      </c>
      <c r="I375" s="8">
        <f t="shared" ca="1" si="63"/>
        <v>2.6842570688817577E-3</v>
      </c>
      <c r="J375" s="8">
        <f t="shared" ca="1" si="64"/>
        <v>5.1842570688817582E-3</v>
      </c>
      <c r="L375" s="8">
        <f t="shared" ca="1" si="65"/>
        <v>14.203350766814111</v>
      </c>
      <c r="M375" s="8">
        <f ca="1">mu*L374*dt</f>
        <v>3.5325241782613807E-2</v>
      </c>
      <c r="N375" s="8">
        <f t="shared" ca="1" si="66"/>
        <v>3.7928811985975329E-2</v>
      </c>
      <c r="O375" s="8">
        <f t="shared" ca="1" si="67"/>
        <v>7.3254053768589136E-2</v>
      </c>
      <c r="Q375" s="7">
        <f t="shared" si="68"/>
        <v>18.200000000000124</v>
      </c>
      <c r="R375" s="8">
        <f t="shared" ca="1" si="69"/>
        <v>1.8801684377121562E-2</v>
      </c>
      <c r="S375" s="8">
        <f t="shared" ca="1" si="70"/>
        <v>6.0668927613313643</v>
      </c>
      <c r="T375" s="8">
        <f t="shared" ca="1" si="71"/>
        <v>14.203350766814111</v>
      </c>
    </row>
    <row r="376" spans="1:20" x14ac:dyDescent="0.25">
      <c r="A376" s="7">
        <f>A375+dt</f>
        <v>18.250000000000124</v>
      </c>
      <c r="B376" s="8">
        <f t="shared" ca="1" si="60"/>
        <v>3.3804032340090398E-2</v>
      </c>
      <c r="C376" s="8">
        <f ca="1">lambda*(a-B375)*dt</f>
        <v>-1.8801684377121562E-3</v>
      </c>
      <c r="D376" s="8">
        <f ca="1">sigma*SQRT(dt)*_xlfn.NORM.S.INV(RAND())</f>
        <v>1.6882516400680992E-2</v>
      </c>
      <c r="E376" s="8">
        <f t="shared" ca="1" si="61"/>
        <v>1.5002347962968836E-2</v>
      </c>
      <c r="G376" s="8">
        <f t="shared" ca="1" si="62"/>
        <v>6.086275277732045</v>
      </c>
      <c r="H376" s="8">
        <f>mu*dt</f>
        <v>2.5000000000000005E-3</v>
      </c>
      <c r="I376" s="8">
        <f t="shared" ca="1" si="63"/>
        <v>1.6882516400680992E-2</v>
      </c>
      <c r="J376" s="8">
        <f t="shared" ca="1" si="64"/>
        <v>1.9382516400680991E-2</v>
      </c>
      <c r="L376" s="8">
        <f t="shared" ca="1" si="65"/>
        <v>14.478647445996511</v>
      </c>
      <c r="M376" s="8">
        <f ca="1">mu*L375*dt</f>
        <v>3.5508376917035282E-2</v>
      </c>
      <c r="N376" s="8">
        <f t="shared" ca="1" si="66"/>
        <v>0.23978830226536418</v>
      </c>
      <c r="O376" s="8">
        <f t="shared" ca="1" si="67"/>
        <v>0.27529667918239947</v>
      </c>
      <c r="Q376" s="7">
        <f t="shared" si="68"/>
        <v>18.250000000000124</v>
      </c>
      <c r="R376" s="8">
        <f t="shared" ca="1" si="69"/>
        <v>3.3804032340090398E-2</v>
      </c>
      <c r="S376" s="8">
        <f t="shared" ca="1" si="70"/>
        <v>6.086275277732045</v>
      </c>
      <c r="T376" s="8">
        <f t="shared" ca="1" si="71"/>
        <v>14.478647445996511</v>
      </c>
    </row>
    <row r="377" spans="1:20" x14ac:dyDescent="0.25">
      <c r="A377" s="7">
        <f>A376+dt</f>
        <v>18.300000000000125</v>
      </c>
      <c r="B377" s="8">
        <f t="shared" ca="1" si="60"/>
        <v>3.3160054619837169E-2</v>
      </c>
      <c r="C377" s="8">
        <f ca="1">lambda*(a-B376)*dt</f>
        <v>-3.3804032340090402E-3</v>
      </c>
      <c r="D377" s="8">
        <f ca="1">sigma*SQRT(dt)*_xlfn.NORM.S.INV(RAND())</f>
        <v>2.7364255137558142E-3</v>
      </c>
      <c r="E377" s="8">
        <f t="shared" ca="1" si="61"/>
        <v>-6.4397772025322599E-4</v>
      </c>
      <c r="G377" s="8">
        <f t="shared" ca="1" si="62"/>
        <v>6.0915117032458008</v>
      </c>
      <c r="H377" s="8">
        <f>mu*dt</f>
        <v>2.5000000000000005E-3</v>
      </c>
      <c r="I377" s="8">
        <f t="shared" ca="1" si="63"/>
        <v>2.7364255137558142E-3</v>
      </c>
      <c r="J377" s="8">
        <f t="shared" ca="1" si="64"/>
        <v>5.2364255137558151E-3</v>
      </c>
      <c r="L377" s="8">
        <f t="shared" ca="1" si="65"/>
        <v>14.554463804887403</v>
      </c>
      <c r="M377" s="8">
        <f ca="1">mu*L376*dt</f>
        <v>3.6196618614991287E-2</v>
      </c>
      <c r="N377" s="8">
        <f t="shared" ca="1" si="66"/>
        <v>3.961974027590031E-2</v>
      </c>
      <c r="O377" s="8">
        <f t="shared" ca="1" si="67"/>
        <v>7.5816358890891597E-2</v>
      </c>
      <c r="Q377" s="7">
        <f t="shared" si="68"/>
        <v>18.300000000000125</v>
      </c>
      <c r="R377" s="8">
        <f t="shared" ca="1" si="69"/>
        <v>3.3160054619837169E-2</v>
      </c>
      <c r="S377" s="8">
        <f t="shared" ca="1" si="70"/>
        <v>6.0915117032458008</v>
      </c>
      <c r="T377" s="8">
        <f t="shared" ca="1" si="71"/>
        <v>14.554463804887403</v>
      </c>
    </row>
    <row r="378" spans="1:20" x14ac:dyDescent="0.25">
      <c r="A378" s="7">
        <f>A377+dt</f>
        <v>18.350000000000126</v>
      </c>
      <c r="B378" s="8">
        <f t="shared" ca="1" si="60"/>
        <v>1.4831820072063771E-2</v>
      </c>
      <c r="C378" s="8">
        <f ca="1">lambda*(a-B377)*dt</f>
        <v>-3.3160054619837172E-3</v>
      </c>
      <c r="D378" s="8">
        <f ca="1">sigma*SQRT(dt)*_xlfn.NORM.S.INV(RAND())</f>
        <v>-1.5012229085789681E-2</v>
      </c>
      <c r="E378" s="8">
        <f t="shared" ca="1" si="61"/>
        <v>-1.8328234547773398E-2</v>
      </c>
      <c r="G378" s="8">
        <f t="shared" ca="1" si="62"/>
        <v>6.0789994741600113</v>
      </c>
      <c r="H378" s="8">
        <f>mu*dt</f>
        <v>2.5000000000000005E-3</v>
      </c>
      <c r="I378" s="8">
        <f t="shared" ca="1" si="63"/>
        <v>-1.5012229085789681E-2</v>
      </c>
      <c r="J378" s="8">
        <f t="shared" ca="1" si="64"/>
        <v>-1.2512229085789681E-2</v>
      </c>
      <c r="L378" s="8">
        <f t="shared" ca="1" si="65"/>
        <v>14.372355019539818</v>
      </c>
      <c r="M378" s="8">
        <f ca="1">mu*L377*dt</f>
        <v>3.6386159512218512E-2</v>
      </c>
      <c r="N378" s="8">
        <f t="shared" ca="1" si="66"/>
        <v>-0.21849494485980384</v>
      </c>
      <c r="O378" s="8">
        <f t="shared" ca="1" si="67"/>
        <v>-0.18210878534758532</v>
      </c>
      <c r="Q378" s="7">
        <f t="shared" si="68"/>
        <v>18.350000000000126</v>
      </c>
      <c r="R378" s="8">
        <f t="shared" ca="1" si="69"/>
        <v>1.4831820072063771E-2</v>
      </c>
      <c r="S378" s="8">
        <f t="shared" ca="1" si="70"/>
        <v>6.0789994741600113</v>
      </c>
      <c r="T378" s="8">
        <f t="shared" ca="1" si="71"/>
        <v>14.372355019539818</v>
      </c>
    </row>
    <row r="379" spans="1:20" x14ac:dyDescent="0.25">
      <c r="A379" s="7">
        <f>A378+dt</f>
        <v>18.400000000000126</v>
      </c>
      <c r="B379" s="8">
        <f t="shared" ca="1" si="60"/>
        <v>2.9263443571656184E-2</v>
      </c>
      <c r="C379" s="8">
        <f ca="1">lambda*(a-B378)*dt</f>
        <v>-1.4831820072063772E-3</v>
      </c>
      <c r="D379" s="8">
        <f ca="1">sigma*SQRT(dt)*_xlfn.NORM.S.INV(RAND())</f>
        <v>1.5914805506798791E-2</v>
      </c>
      <c r="E379" s="8">
        <f t="shared" ca="1" si="61"/>
        <v>1.4431623499592414E-2</v>
      </c>
      <c r="G379" s="8">
        <f t="shared" ca="1" si="62"/>
        <v>6.0974142796668103</v>
      </c>
      <c r="H379" s="8">
        <f>mu*dt</f>
        <v>2.5000000000000005E-3</v>
      </c>
      <c r="I379" s="8">
        <f t="shared" ca="1" si="63"/>
        <v>1.5914805506798791E-2</v>
      </c>
      <c r="J379" s="8">
        <f t="shared" ca="1" si="64"/>
        <v>1.841480550679879E-2</v>
      </c>
      <c r="L379" s="8">
        <f t="shared" ca="1" si="65"/>
        <v>14.637019141899307</v>
      </c>
      <c r="M379" s="8">
        <f ca="1">mu*L378*dt</f>
        <v>3.5930887548849544E-2</v>
      </c>
      <c r="N379" s="8">
        <f t="shared" ca="1" si="66"/>
        <v>0.22873323481063954</v>
      </c>
      <c r="O379" s="8">
        <f t="shared" ca="1" si="67"/>
        <v>0.26466412235948911</v>
      </c>
      <c r="Q379" s="7">
        <f t="shared" si="68"/>
        <v>18.400000000000126</v>
      </c>
      <c r="R379" s="8">
        <f t="shared" ca="1" si="69"/>
        <v>2.9263443571656184E-2</v>
      </c>
      <c r="S379" s="8">
        <f t="shared" ca="1" si="70"/>
        <v>6.0974142796668103</v>
      </c>
      <c r="T379" s="8">
        <f t="shared" ca="1" si="71"/>
        <v>14.637019141899307</v>
      </c>
    </row>
    <row r="380" spans="1:20" x14ac:dyDescent="0.25">
      <c r="A380" s="7">
        <f>A379+dt</f>
        <v>18.450000000000127</v>
      </c>
      <c r="B380" s="8">
        <f t="shared" ca="1" si="60"/>
        <v>4.0546561000758471E-2</v>
      </c>
      <c r="C380" s="8">
        <f ca="1">lambda*(a-B379)*dt</f>
        <v>-2.9263443571656187E-3</v>
      </c>
      <c r="D380" s="8">
        <f ca="1">sigma*SQRT(dt)*_xlfn.NORM.S.INV(RAND())</f>
        <v>1.4209461786267903E-2</v>
      </c>
      <c r="E380" s="8">
        <f t="shared" ca="1" si="61"/>
        <v>1.1283117429102284E-2</v>
      </c>
      <c r="G380" s="8">
        <f t="shared" ca="1" si="62"/>
        <v>6.1141237414530778</v>
      </c>
      <c r="H380" s="8">
        <f>mu*dt</f>
        <v>2.5000000000000005E-3</v>
      </c>
      <c r="I380" s="8">
        <f t="shared" ca="1" si="63"/>
        <v>1.4209461786267903E-2</v>
      </c>
      <c r="J380" s="8">
        <f t="shared" ca="1" si="64"/>
        <v>1.6709461786267903E-2</v>
      </c>
      <c r="L380" s="8">
        <f t="shared" ca="1" si="65"/>
        <v>14.881595853915746</v>
      </c>
      <c r="M380" s="8">
        <f ca="1">mu*L379*dt</f>
        <v>3.6592547854748268E-2</v>
      </c>
      <c r="N380" s="8">
        <f t="shared" ca="1" si="66"/>
        <v>0.20798416416169002</v>
      </c>
      <c r="O380" s="8">
        <f t="shared" ca="1" si="67"/>
        <v>0.2445767120164383</v>
      </c>
      <c r="Q380" s="7">
        <f t="shared" si="68"/>
        <v>18.450000000000127</v>
      </c>
      <c r="R380" s="8">
        <f t="shared" ca="1" si="69"/>
        <v>4.0546561000758471E-2</v>
      </c>
      <c r="S380" s="8">
        <f t="shared" ca="1" si="70"/>
        <v>6.1141237414530778</v>
      </c>
      <c r="T380" s="8">
        <f t="shared" ca="1" si="71"/>
        <v>14.881595853915746</v>
      </c>
    </row>
    <row r="381" spans="1:20" x14ac:dyDescent="0.25">
      <c r="A381" s="7">
        <f>A380+dt</f>
        <v>18.500000000000128</v>
      </c>
      <c r="B381" s="8">
        <f t="shared" ca="1" si="60"/>
        <v>4.7366687592421255E-2</v>
      </c>
      <c r="C381" s="8">
        <f ca="1">lambda*(a-B380)*dt</f>
        <v>-4.0546561000758471E-3</v>
      </c>
      <c r="D381" s="8">
        <f ca="1">sigma*SQRT(dt)*_xlfn.NORM.S.INV(RAND())</f>
        <v>1.0874782691738629E-2</v>
      </c>
      <c r="E381" s="8">
        <f t="shared" ca="1" si="61"/>
        <v>6.8201265916627823E-3</v>
      </c>
      <c r="G381" s="8">
        <f t="shared" ca="1" si="62"/>
        <v>6.1274985241448165</v>
      </c>
      <c r="H381" s="8">
        <f>mu*dt</f>
        <v>2.5000000000000005E-3</v>
      </c>
      <c r="I381" s="8">
        <f t="shared" ca="1" si="63"/>
        <v>1.0874782691738629E-2</v>
      </c>
      <c r="J381" s="8">
        <f t="shared" ca="1" si="64"/>
        <v>1.337478269173863E-2</v>
      </c>
      <c r="L381" s="8">
        <f t="shared" ca="1" si="65"/>
        <v>15.080633964568147</v>
      </c>
      <c r="M381" s="8">
        <f ca="1">mu*L380*dt</f>
        <v>3.7203989634789374E-2</v>
      </c>
      <c r="N381" s="8">
        <f t="shared" ca="1" si="66"/>
        <v>0.1618341210176123</v>
      </c>
      <c r="O381" s="8">
        <f t="shared" ca="1" si="67"/>
        <v>0.19903811065240168</v>
      </c>
      <c r="Q381" s="7">
        <f t="shared" si="68"/>
        <v>18.500000000000128</v>
      </c>
      <c r="R381" s="8">
        <f t="shared" ca="1" si="69"/>
        <v>4.7366687592421255E-2</v>
      </c>
      <c r="S381" s="8">
        <f t="shared" ca="1" si="70"/>
        <v>6.1274985241448165</v>
      </c>
      <c r="T381" s="8">
        <f t="shared" ca="1" si="71"/>
        <v>15.080633964568147</v>
      </c>
    </row>
    <row r="382" spans="1:20" x14ac:dyDescent="0.25">
      <c r="A382" s="7">
        <f>A381+dt</f>
        <v>18.550000000000129</v>
      </c>
      <c r="B382" s="8">
        <f t="shared" ca="1" si="60"/>
        <v>3.3695699335236098E-2</v>
      </c>
      <c r="C382" s="8">
        <f ca="1">lambda*(a-B381)*dt</f>
        <v>-4.7366687592421261E-3</v>
      </c>
      <c r="D382" s="8">
        <f ca="1">sigma*SQRT(dt)*_xlfn.NORM.S.INV(RAND())</f>
        <v>-8.9343194979430336E-3</v>
      </c>
      <c r="E382" s="8">
        <f t="shared" ca="1" si="61"/>
        <v>-1.3670988257185161E-2</v>
      </c>
      <c r="G382" s="8">
        <f t="shared" ca="1" si="62"/>
        <v>6.1210642046468733</v>
      </c>
      <c r="H382" s="8">
        <f>mu*dt</f>
        <v>2.5000000000000005E-3</v>
      </c>
      <c r="I382" s="8">
        <f t="shared" ca="1" si="63"/>
        <v>-8.9343194979430336E-3</v>
      </c>
      <c r="J382" s="8">
        <f t="shared" ca="1" si="64"/>
        <v>-6.4343194979430331E-3</v>
      </c>
      <c r="L382" s="8">
        <f t="shared" ca="1" si="65"/>
        <v>14.983600347408585</v>
      </c>
      <c r="M382" s="8">
        <f ca="1">mu*L381*dt</f>
        <v>3.7701584911420373E-2</v>
      </c>
      <c r="N382" s="8">
        <f t="shared" ca="1" si="66"/>
        <v>-0.13473520207098313</v>
      </c>
      <c r="O382" s="8">
        <f t="shared" ca="1" si="67"/>
        <v>-9.7033617159562768E-2</v>
      </c>
      <c r="Q382" s="7">
        <f t="shared" si="68"/>
        <v>18.550000000000129</v>
      </c>
      <c r="R382" s="8">
        <f t="shared" ca="1" si="69"/>
        <v>3.3695699335236098E-2</v>
      </c>
      <c r="S382" s="8">
        <f t="shared" ca="1" si="70"/>
        <v>6.1210642046468733</v>
      </c>
      <c r="T382" s="8">
        <f t="shared" ca="1" si="71"/>
        <v>14.983600347408585</v>
      </c>
    </row>
    <row r="383" spans="1:20" x14ac:dyDescent="0.25">
      <c r="A383" s="7">
        <f>A382+dt</f>
        <v>18.600000000000129</v>
      </c>
      <c r="B383" s="8">
        <f t="shared" ca="1" si="60"/>
        <v>2.8887530281832743E-2</v>
      </c>
      <c r="C383" s="8">
        <f ca="1">lambda*(a-B382)*dt</f>
        <v>-3.3695699335236102E-3</v>
      </c>
      <c r="D383" s="8">
        <f ca="1">sigma*SQRT(dt)*_xlfn.NORM.S.INV(RAND())</f>
        <v>-1.4385991198797459E-3</v>
      </c>
      <c r="E383" s="8">
        <f t="shared" ca="1" si="61"/>
        <v>-4.8081690534033557E-3</v>
      </c>
      <c r="G383" s="8">
        <f t="shared" ca="1" si="62"/>
        <v>6.1221256055269935</v>
      </c>
      <c r="H383" s="8">
        <f>mu*dt</f>
        <v>2.5000000000000005E-3</v>
      </c>
      <c r="I383" s="8">
        <f t="shared" ca="1" si="63"/>
        <v>-1.4385991198797459E-3</v>
      </c>
      <c r="J383" s="8">
        <f t="shared" ca="1" si="64"/>
        <v>1.0614008801202546E-3</v>
      </c>
      <c r="L383" s="8">
        <f t="shared" ca="1" si="65"/>
        <v>14.999503954004695</v>
      </c>
      <c r="M383" s="8">
        <f ca="1">mu*L382*dt</f>
        <v>3.7459000868521462E-2</v>
      </c>
      <c r="N383" s="8">
        <f t="shared" ca="1" si="66"/>
        <v>-2.1555394272411845E-2</v>
      </c>
      <c r="O383" s="8">
        <f t="shared" ca="1" si="67"/>
        <v>1.5903606596109617E-2</v>
      </c>
      <c r="Q383" s="7">
        <f t="shared" si="68"/>
        <v>18.600000000000129</v>
      </c>
      <c r="R383" s="8">
        <f t="shared" ca="1" si="69"/>
        <v>2.8887530281832743E-2</v>
      </c>
      <c r="S383" s="8">
        <f t="shared" ca="1" si="70"/>
        <v>6.1221256055269935</v>
      </c>
      <c r="T383" s="8">
        <f t="shared" ca="1" si="71"/>
        <v>14.999503954004695</v>
      </c>
    </row>
    <row r="384" spans="1:20" x14ac:dyDescent="0.25">
      <c r="A384" s="7">
        <f>A383+dt</f>
        <v>18.65000000000013</v>
      </c>
      <c r="B384" s="8">
        <f t="shared" ca="1" si="60"/>
        <v>6.1913726889350103E-3</v>
      </c>
      <c r="C384" s="8">
        <f ca="1">lambda*(a-B383)*dt</f>
        <v>-2.8887530281832743E-3</v>
      </c>
      <c r="D384" s="8">
        <f ca="1">sigma*SQRT(dt)*_xlfn.NORM.S.INV(RAND())</f>
        <v>-1.980740456471446E-2</v>
      </c>
      <c r="E384" s="8">
        <f t="shared" ca="1" si="61"/>
        <v>-2.2696157592897732E-2</v>
      </c>
      <c r="G384" s="8">
        <f t="shared" ca="1" si="62"/>
        <v>6.1048182009622787</v>
      </c>
      <c r="H384" s="8">
        <f>mu*dt</f>
        <v>2.5000000000000005E-3</v>
      </c>
      <c r="I384" s="8">
        <f t="shared" ca="1" si="63"/>
        <v>-1.980740456471446E-2</v>
      </c>
      <c r="J384" s="8">
        <f t="shared" ca="1" si="64"/>
        <v>-1.7307404564714461E-2</v>
      </c>
      <c r="L384" s="8">
        <f t="shared" ca="1" si="65"/>
        <v>14.739901470802701</v>
      </c>
      <c r="M384" s="8">
        <f ca="1">mu*L383*dt</f>
        <v>3.7498759885011744E-2</v>
      </c>
      <c r="N384" s="8">
        <f t="shared" ca="1" si="66"/>
        <v>-0.2971012430870052</v>
      </c>
      <c r="O384" s="8">
        <f t="shared" ca="1" si="67"/>
        <v>-0.25960248320199347</v>
      </c>
      <c r="Q384" s="7">
        <f t="shared" si="68"/>
        <v>18.65000000000013</v>
      </c>
      <c r="R384" s="8">
        <f t="shared" ca="1" si="69"/>
        <v>6.1913726889350103E-3</v>
      </c>
      <c r="S384" s="8">
        <f t="shared" ca="1" si="70"/>
        <v>6.1048182009622787</v>
      </c>
      <c r="T384" s="8">
        <f t="shared" ca="1" si="71"/>
        <v>14.739901470802701</v>
      </c>
    </row>
    <row r="385" spans="1:20" x14ac:dyDescent="0.25">
      <c r="A385" s="7">
        <f>A384+dt</f>
        <v>18.700000000000131</v>
      </c>
      <c r="B385" s="8">
        <f t="shared" ca="1" si="60"/>
        <v>1.498367685491598E-3</v>
      </c>
      <c r="C385" s="8">
        <f ca="1">lambda*(a-B384)*dt</f>
        <v>-6.1913726889350107E-4</v>
      </c>
      <c r="D385" s="8">
        <f ca="1">sigma*SQRT(dt)*_xlfn.NORM.S.INV(RAND())</f>
        <v>-4.0738677345499115E-3</v>
      </c>
      <c r="E385" s="8">
        <f t="shared" ca="1" si="61"/>
        <v>-4.6930050034434123E-3</v>
      </c>
      <c r="G385" s="8">
        <f t="shared" ca="1" si="62"/>
        <v>6.1032443332277291</v>
      </c>
      <c r="H385" s="8">
        <f>mu*dt</f>
        <v>2.5000000000000005E-3</v>
      </c>
      <c r="I385" s="8">
        <f t="shared" ca="1" si="63"/>
        <v>-4.0738677345499115E-3</v>
      </c>
      <c r="J385" s="8">
        <f t="shared" ca="1" si="64"/>
        <v>-1.573867734549911E-3</v>
      </c>
      <c r="L385" s="8">
        <f t="shared" ca="1" si="65"/>
        <v>14.716702815467361</v>
      </c>
      <c r="M385" s="8">
        <f ca="1">mu*L384*dt</f>
        <v>3.6849753677006762E-2</v>
      </c>
      <c r="N385" s="8">
        <f t="shared" ca="1" si="66"/>
        <v>-6.0048409012347911E-2</v>
      </c>
      <c r="O385" s="8">
        <f t="shared" ca="1" si="67"/>
        <v>-2.3198655335341149E-2</v>
      </c>
      <c r="Q385" s="7">
        <f t="shared" si="68"/>
        <v>18.700000000000131</v>
      </c>
      <c r="R385" s="8">
        <f t="shared" ca="1" si="69"/>
        <v>1.498367685491598E-3</v>
      </c>
      <c r="S385" s="8">
        <f t="shared" ca="1" si="70"/>
        <v>6.1032443332277291</v>
      </c>
      <c r="T385" s="8">
        <f t="shared" ca="1" si="71"/>
        <v>14.716702815467361</v>
      </c>
    </row>
    <row r="386" spans="1:20" x14ac:dyDescent="0.25">
      <c r="A386" s="7">
        <f>A385+dt</f>
        <v>18.750000000000131</v>
      </c>
      <c r="B386" s="8">
        <f t="shared" ca="1" si="60"/>
        <v>-1.1612122823769914E-2</v>
      </c>
      <c r="C386" s="8">
        <f ca="1">lambda*(a-B385)*dt</f>
        <v>-1.4983676854915981E-4</v>
      </c>
      <c r="D386" s="8">
        <f ca="1">sigma*SQRT(dt)*_xlfn.NORM.S.INV(RAND())</f>
        <v>-1.2960653740712352E-2</v>
      </c>
      <c r="E386" s="8">
        <f t="shared" ca="1" si="61"/>
        <v>-1.3110490509261512E-2</v>
      </c>
      <c r="G386" s="8">
        <f t="shared" ca="1" si="62"/>
        <v>6.0927836794870167</v>
      </c>
      <c r="H386" s="8">
        <f>mu*dt</f>
        <v>2.5000000000000005E-3</v>
      </c>
      <c r="I386" s="8">
        <f t="shared" ca="1" si="63"/>
        <v>-1.2960653740712352E-2</v>
      </c>
      <c r="J386" s="8">
        <f t="shared" ca="1" si="64"/>
        <v>-1.0460653740712351E-2</v>
      </c>
      <c r="L386" s="8">
        <f t="shared" ca="1" si="65"/>
        <v>14.562756483109791</v>
      </c>
      <c r="M386" s="8">
        <f ca="1">mu*L385*dt</f>
        <v>3.6791757038668403E-2</v>
      </c>
      <c r="N386" s="8">
        <f t="shared" ca="1" si="66"/>
        <v>-0.19073808939623904</v>
      </c>
      <c r="O386" s="8">
        <f t="shared" ca="1" si="67"/>
        <v>-0.15394633235757063</v>
      </c>
      <c r="Q386" s="7">
        <f t="shared" si="68"/>
        <v>18.750000000000131</v>
      </c>
      <c r="R386" s="8">
        <f t="shared" ca="1" si="69"/>
        <v>-1.1612122823769914E-2</v>
      </c>
      <c r="S386" s="8">
        <f t="shared" ca="1" si="70"/>
        <v>6.0927836794870167</v>
      </c>
      <c r="T386" s="8">
        <f t="shared" ca="1" si="71"/>
        <v>14.562756483109791</v>
      </c>
    </row>
    <row r="387" spans="1:20" x14ac:dyDescent="0.25">
      <c r="A387" s="7">
        <f>A386+dt</f>
        <v>18.800000000000132</v>
      </c>
      <c r="B387" s="8">
        <f t="shared" ca="1" si="60"/>
        <v>-1.0379574840506608E-2</v>
      </c>
      <c r="C387" s="8">
        <f ca="1">lambda*(a-B386)*dt</f>
        <v>1.1612122823769914E-3</v>
      </c>
      <c r="D387" s="8">
        <f ca="1">sigma*SQRT(dt)*_xlfn.NORM.S.INV(RAND())</f>
        <v>7.1335700886314014E-5</v>
      </c>
      <c r="E387" s="8">
        <f t="shared" ca="1" si="61"/>
        <v>1.2325479832633055E-3</v>
      </c>
      <c r="G387" s="8">
        <f t="shared" ca="1" si="62"/>
        <v>6.095355015187903</v>
      </c>
      <c r="H387" s="8">
        <f>mu*dt</f>
        <v>2.5000000000000005E-3</v>
      </c>
      <c r="I387" s="8">
        <f t="shared" ca="1" si="63"/>
        <v>7.1335700886314014E-5</v>
      </c>
      <c r="J387" s="8">
        <f t="shared" ca="1" si="64"/>
        <v>2.5713357008863144E-3</v>
      </c>
      <c r="L387" s="8">
        <f t="shared" ca="1" si="65"/>
        <v>14.600202218758124</v>
      </c>
      <c r="M387" s="8">
        <f ca="1">mu*L386*dt</f>
        <v>3.6406891207774482E-2</v>
      </c>
      <c r="N387" s="8">
        <f t="shared" ca="1" si="66"/>
        <v>1.0388444405593502E-3</v>
      </c>
      <c r="O387" s="8">
        <f t="shared" ca="1" si="67"/>
        <v>3.7445735648333832E-2</v>
      </c>
      <c r="Q387" s="7">
        <f t="shared" si="68"/>
        <v>18.800000000000132</v>
      </c>
      <c r="R387" s="8">
        <f t="shared" ca="1" si="69"/>
        <v>-1.0379574840506608E-2</v>
      </c>
      <c r="S387" s="8">
        <f t="shared" ca="1" si="70"/>
        <v>6.095355015187903</v>
      </c>
      <c r="T387" s="8">
        <f t="shared" ca="1" si="71"/>
        <v>14.600202218758124</v>
      </c>
    </row>
    <row r="388" spans="1:20" x14ac:dyDescent="0.25">
      <c r="A388" s="7">
        <f>A387+dt</f>
        <v>18.850000000000133</v>
      </c>
      <c r="B388" s="8">
        <f t="shared" ca="1" si="60"/>
        <v>-2.0581693503739666E-2</v>
      </c>
      <c r="C388" s="8">
        <f ca="1">lambda*(a-B387)*dt</f>
        <v>1.0379574840506608E-3</v>
      </c>
      <c r="D388" s="8">
        <f ca="1">sigma*SQRT(dt)*_xlfn.NORM.S.INV(RAND())</f>
        <v>-1.124007614728372E-2</v>
      </c>
      <c r="E388" s="8">
        <f t="shared" ca="1" si="61"/>
        <v>-1.0202118663233058E-2</v>
      </c>
      <c r="G388" s="8">
        <f t="shared" ca="1" si="62"/>
        <v>6.0866149390406195</v>
      </c>
      <c r="H388" s="8">
        <f>mu*dt</f>
        <v>2.5000000000000005E-3</v>
      </c>
      <c r="I388" s="8">
        <f t="shared" ca="1" si="63"/>
        <v>-1.124007614728372E-2</v>
      </c>
      <c r="J388" s="8">
        <f t="shared" ca="1" si="64"/>
        <v>-8.7400761472837193E-3</v>
      </c>
      <c r="L388" s="8">
        <f t="shared" ca="1" si="65"/>
        <v>14.472595339600437</v>
      </c>
      <c r="M388" s="8">
        <f ca="1">mu*L387*dt</f>
        <v>3.6500505546895316E-2</v>
      </c>
      <c r="N388" s="8">
        <f t="shared" ca="1" si="66"/>
        <v>-0.16410738470458203</v>
      </c>
      <c r="O388" s="8">
        <f t="shared" ca="1" si="67"/>
        <v>-0.1276068791576867</v>
      </c>
      <c r="Q388" s="7">
        <f t="shared" si="68"/>
        <v>18.850000000000133</v>
      </c>
      <c r="R388" s="8">
        <f t="shared" ca="1" si="69"/>
        <v>-2.0581693503739666E-2</v>
      </c>
      <c r="S388" s="8">
        <f t="shared" ca="1" si="70"/>
        <v>6.0866149390406195</v>
      </c>
      <c r="T388" s="8">
        <f t="shared" ca="1" si="71"/>
        <v>14.472595339600437</v>
      </c>
    </row>
    <row r="389" spans="1:20" x14ac:dyDescent="0.25">
      <c r="A389" s="7">
        <f>A388+dt</f>
        <v>18.900000000000134</v>
      </c>
      <c r="B389" s="8">
        <f t="shared" ca="1" si="60"/>
        <v>-2.9962125244994382E-2</v>
      </c>
      <c r="C389" s="8">
        <f ca="1">lambda*(a-B388)*dt</f>
        <v>2.0581693503739667E-3</v>
      </c>
      <c r="D389" s="8">
        <f ca="1">sigma*SQRT(dt)*_xlfn.NORM.S.INV(RAND())</f>
        <v>-1.1438601091628682E-2</v>
      </c>
      <c r="E389" s="8">
        <f t="shared" ca="1" si="61"/>
        <v>-9.3804317412547154E-3</v>
      </c>
      <c r="G389" s="8">
        <f t="shared" ca="1" si="62"/>
        <v>6.0776763379489909</v>
      </c>
      <c r="H389" s="8">
        <f>mu*dt</f>
        <v>2.5000000000000005E-3</v>
      </c>
      <c r="I389" s="8">
        <f t="shared" ca="1" si="63"/>
        <v>-1.1438601091628682E-2</v>
      </c>
      <c r="J389" s="8">
        <f t="shared" ca="1" si="64"/>
        <v>-8.9386010916286812E-3</v>
      </c>
      <c r="L389" s="8">
        <f t="shared" ca="1" si="65"/>
        <v>14.343230583099183</v>
      </c>
      <c r="M389" s="8">
        <f ca="1">mu*L388*dt</f>
        <v>3.6181488349001097E-2</v>
      </c>
      <c r="N389" s="8">
        <f t="shared" ca="1" si="66"/>
        <v>-0.16554624485025374</v>
      </c>
      <c r="O389" s="8">
        <f t="shared" ca="1" si="67"/>
        <v>-0.12936475650125265</v>
      </c>
      <c r="Q389" s="7">
        <f t="shared" si="68"/>
        <v>18.900000000000134</v>
      </c>
      <c r="R389" s="8">
        <f t="shared" ca="1" si="69"/>
        <v>-2.9962125244994382E-2</v>
      </c>
      <c r="S389" s="8">
        <f t="shared" ca="1" si="70"/>
        <v>6.0776763379489909</v>
      </c>
      <c r="T389" s="8">
        <f t="shared" ca="1" si="71"/>
        <v>14.343230583099183</v>
      </c>
    </row>
    <row r="390" spans="1:20" x14ac:dyDescent="0.25">
      <c r="A390" s="7">
        <f>A389+dt</f>
        <v>18.950000000000134</v>
      </c>
      <c r="B390" s="8">
        <f t="shared" ca="1" si="60"/>
        <v>-2.526099796615322E-2</v>
      </c>
      <c r="C390" s="8">
        <f ca="1">lambda*(a-B389)*dt</f>
        <v>2.9962125244994385E-3</v>
      </c>
      <c r="D390" s="8">
        <f ca="1">sigma*SQRT(dt)*_xlfn.NORM.S.INV(RAND())</f>
        <v>1.7049147543417207E-3</v>
      </c>
      <c r="E390" s="8">
        <f t="shared" ca="1" si="61"/>
        <v>4.7011272788411596E-3</v>
      </c>
      <c r="G390" s="8">
        <f t="shared" ca="1" si="62"/>
        <v>6.081881252703333</v>
      </c>
      <c r="H390" s="8">
        <f>mu*dt</f>
        <v>2.5000000000000005E-3</v>
      </c>
      <c r="I390" s="8">
        <f t="shared" ca="1" si="63"/>
        <v>1.7049147543417207E-3</v>
      </c>
      <c r="J390" s="8">
        <f t="shared" ca="1" si="64"/>
        <v>4.2049147543417216E-3</v>
      </c>
      <c r="L390" s="8">
        <f t="shared" ca="1" si="65"/>
        <v>14.403542645002982</v>
      </c>
      <c r="M390" s="8">
        <f ca="1">mu*L389*dt</f>
        <v>3.585807645774796E-2</v>
      </c>
      <c r="N390" s="8">
        <f t="shared" ca="1" si="66"/>
        <v>2.44539854460512E-2</v>
      </c>
      <c r="O390" s="8">
        <f t="shared" ca="1" si="67"/>
        <v>6.0312061903799161E-2</v>
      </c>
      <c r="Q390" s="7">
        <f t="shared" si="68"/>
        <v>18.950000000000134</v>
      </c>
      <c r="R390" s="8">
        <f t="shared" ca="1" si="69"/>
        <v>-2.526099796615322E-2</v>
      </c>
      <c r="S390" s="8">
        <f t="shared" ca="1" si="70"/>
        <v>6.081881252703333</v>
      </c>
      <c r="T390" s="8">
        <f t="shared" ca="1" si="71"/>
        <v>14.403542645002982</v>
      </c>
    </row>
    <row r="391" spans="1:20" x14ac:dyDescent="0.25">
      <c r="A391" s="7">
        <f>A390+dt</f>
        <v>19.000000000000135</v>
      </c>
      <c r="B391" s="8">
        <f t="shared" ca="1" si="60"/>
        <v>-9.0451574821890715E-3</v>
      </c>
      <c r="C391" s="8">
        <f ca="1">lambda*(a-B390)*dt</f>
        <v>2.5260997966153223E-3</v>
      </c>
      <c r="D391" s="8">
        <f ca="1">sigma*SQRT(dt)*_xlfn.NORM.S.INV(RAND())</f>
        <v>1.3689740687348826E-2</v>
      </c>
      <c r="E391" s="8">
        <f t="shared" ca="1" si="61"/>
        <v>1.6215840483964149E-2</v>
      </c>
      <c r="G391" s="8">
        <f t="shared" ca="1" si="62"/>
        <v>6.0980709933906816</v>
      </c>
      <c r="H391" s="8">
        <f>mu*dt</f>
        <v>2.5000000000000005E-3</v>
      </c>
      <c r="I391" s="8">
        <f t="shared" ca="1" si="63"/>
        <v>1.3689740687348826E-2</v>
      </c>
      <c r="J391" s="8">
        <f t="shared" ca="1" si="64"/>
        <v>1.6189740687348825E-2</v>
      </c>
      <c r="L391" s="8">
        <f t="shared" ca="1" si="65"/>
        <v>14.636732265404751</v>
      </c>
      <c r="M391" s="8">
        <f ca="1">mu*L390*dt</f>
        <v>3.600885661250746E-2</v>
      </c>
      <c r="N391" s="8">
        <f t="shared" ca="1" si="66"/>
        <v>0.19718076378926125</v>
      </c>
      <c r="O391" s="8">
        <f t="shared" ca="1" si="67"/>
        <v>0.23318962040176872</v>
      </c>
      <c r="Q391" s="7">
        <f t="shared" si="68"/>
        <v>19.000000000000135</v>
      </c>
      <c r="R391" s="8">
        <f t="shared" ca="1" si="69"/>
        <v>-9.0451574821890715E-3</v>
      </c>
      <c r="S391" s="8">
        <f t="shared" ca="1" si="70"/>
        <v>6.0980709933906816</v>
      </c>
      <c r="T391" s="8">
        <f t="shared" ca="1" si="71"/>
        <v>14.636732265404751</v>
      </c>
    </row>
    <row r="392" spans="1:20" x14ac:dyDescent="0.25">
      <c r="A392" s="7">
        <f>A391+dt</f>
        <v>19.050000000000136</v>
      </c>
      <c r="B392" s="8">
        <f t="shared" ca="1" si="60"/>
        <v>-6.3749065005347339E-3</v>
      </c>
      <c r="C392" s="8">
        <f ca="1">lambda*(a-B391)*dt</f>
        <v>9.0451574821890724E-4</v>
      </c>
      <c r="D392" s="8">
        <f ca="1">sigma*SQRT(dt)*_xlfn.NORM.S.INV(RAND())</f>
        <v>1.7657352334354301E-3</v>
      </c>
      <c r="E392" s="8">
        <f t="shared" ca="1" si="61"/>
        <v>2.6702509816543376E-3</v>
      </c>
      <c r="G392" s="8">
        <f t="shared" ca="1" si="62"/>
        <v>6.1023367286241168</v>
      </c>
      <c r="H392" s="8">
        <f>mu*dt</f>
        <v>2.5000000000000005E-3</v>
      </c>
      <c r="I392" s="8">
        <f t="shared" ca="1" si="63"/>
        <v>1.7657352334354301E-3</v>
      </c>
      <c r="J392" s="8">
        <f t="shared" ca="1" si="64"/>
        <v>4.2657352334354304E-3</v>
      </c>
      <c r="L392" s="8">
        <f t="shared" ca="1" si="65"/>
        <v>14.69916868993165</v>
      </c>
      <c r="M392" s="8">
        <f ca="1">mu*L391*dt</f>
        <v>3.6591830663511883E-2</v>
      </c>
      <c r="N392" s="8">
        <f t="shared" ca="1" si="66"/>
        <v>2.5844593863386351E-2</v>
      </c>
      <c r="O392" s="8">
        <f t="shared" ca="1" si="67"/>
        <v>6.2436424526898238E-2</v>
      </c>
      <c r="Q392" s="7">
        <f t="shared" si="68"/>
        <v>19.050000000000136</v>
      </c>
      <c r="R392" s="8">
        <f t="shared" ca="1" si="69"/>
        <v>-6.3749065005347339E-3</v>
      </c>
      <c r="S392" s="8">
        <f t="shared" ca="1" si="70"/>
        <v>6.1023367286241168</v>
      </c>
      <c r="T392" s="8">
        <f t="shared" ca="1" si="71"/>
        <v>14.69916868993165</v>
      </c>
    </row>
    <row r="393" spans="1:20" x14ac:dyDescent="0.25">
      <c r="A393" s="7">
        <f>A392+dt</f>
        <v>19.100000000000136</v>
      </c>
      <c r="B393" s="8">
        <f t="shared" ca="1" si="60"/>
        <v>2.2997895546457339E-4</v>
      </c>
      <c r="C393" s="8">
        <f ca="1">lambda*(a-B392)*dt</f>
        <v>6.3749065005347339E-4</v>
      </c>
      <c r="D393" s="8">
        <f ca="1">sigma*SQRT(dt)*_xlfn.NORM.S.INV(RAND())</f>
        <v>5.9673948059458335E-3</v>
      </c>
      <c r="E393" s="8">
        <f t="shared" ca="1" si="61"/>
        <v>6.6048854559993073E-3</v>
      </c>
      <c r="G393" s="8">
        <f t="shared" ca="1" si="62"/>
        <v>6.1108041234300625</v>
      </c>
      <c r="H393" s="8">
        <f>mu*dt</f>
        <v>2.5000000000000005E-3</v>
      </c>
      <c r="I393" s="8">
        <f t="shared" ca="1" si="63"/>
        <v>5.9673948059458335E-3</v>
      </c>
      <c r="J393" s="8">
        <f t="shared" ca="1" si="64"/>
        <v>8.467394805945834E-3</v>
      </c>
      <c r="L393" s="8">
        <f t="shared" ca="1" si="65"/>
        <v>14.823632354548499</v>
      </c>
      <c r="M393" s="8">
        <f ca="1">mu*L392*dt</f>
        <v>3.6747921724829123E-2</v>
      </c>
      <c r="N393" s="8">
        <f t="shared" ca="1" si="66"/>
        <v>8.7715742892019749E-2</v>
      </c>
      <c r="O393" s="8">
        <f t="shared" ca="1" si="67"/>
        <v>0.12446366461684888</v>
      </c>
      <c r="Q393" s="7">
        <f t="shared" si="68"/>
        <v>19.100000000000136</v>
      </c>
      <c r="R393" s="8">
        <f t="shared" ca="1" si="69"/>
        <v>2.2997895546457339E-4</v>
      </c>
      <c r="S393" s="8">
        <f t="shared" ca="1" si="70"/>
        <v>6.1108041234300625</v>
      </c>
      <c r="T393" s="8">
        <f t="shared" ca="1" si="71"/>
        <v>14.823632354548499</v>
      </c>
    </row>
    <row r="394" spans="1:20" x14ac:dyDescent="0.25">
      <c r="A394" s="7">
        <f>A393+dt</f>
        <v>19.150000000000137</v>
      </c>
      <c r="B394" s="8">
        <f t="shared" ca="1" si="60"/>
        <v>-2.8339502922743341E-3</v>
      </c>
      <c r="C394" s="8">
        <f ca="1">lambda*(a-B393)*dt</f>
        <v>-2.2997895546457341E-5</v>
      </c>
      <c r="D394" s="8">
        <f ca="1">sigma*SQRT(dt)*_xlfn.NORM.S.INV(RAND())</f>
        <v>-3.0409313521924503E-3</v>
      </c>
      <c r="E394" s="8">
        <f t="shared" ca="1" si="61"/>
        <v>-3.0639292477389075E-3</v>
      </c>
      <c r="G394" s="8">
        <f t="shared" ca="1" si="62"/>
        <v>6.1102631920778698</v>
      </c>
      <c r="H394" s="8">
        <f>mu*dt</f>
        <v>2.5000000000000005E-3</v>
      </c>
      <c r="I394" s="8">
        <f t="shared" ca="1" si="63"/>
        <v>-3.0409313521924503E-3</v>
      </c>
      <c r="J394" s="8">
        <f t="shared" ca="1" si="64"/>
        <v>-5.4093135219244982E-4</v>
      </c>
      <c r="L394" s="8">
        <f t="shared" ca="1" si="65"/>
        <v>14.815613787054549</v>
      </c>
      <c r="M394" s="8">
        <f ca="1">mu*L393*dt</f>
        <v>3.7059080886371248E-2</v>
      </c>
      <c r="N394" s="8">
        <f t="shared" ca="1" si="66"/>
        <v>-4.5077648380320925E-2</v>
      </c>
      <c r="O394" s="8">
        <f t="shared" ca="1" si="67"/>
        <v>-8.018567493949677E-3</v>
      </c>
      <c r="Q394" s="7">
        <f t="shared" si="68"/>
        <v>19.150000000000137</v>
      </c>
      <c r="R394" s="8">
        <f t="shared" ca="1" si="69"/>
        <v>-2.8339502922743341E-3</v>
      </c>
      <c r="S394" s="8">
        <f t="shared" ca="1" si="70"/>
        <v>6.1102631920778698</v>
      </c>
      <c r="T394" s="8">
        <f t="shared" ca="1" si="71"/>
        <v>14.815613787054549</v>
      </c>
    </row>
    <row r="395" spans="1:20" x14ac:dyDescent="0.25">
      <c r="A395" s="7">
        <f>A394+dt</f>
        <v>19.200000000000138</v>
      </c>
      <c r="B395" s="8">
        <f t="shared" ca="1" si="60"/>
        <v>1.6635301930939322E-3</v>
      </c>
      <c r="C395" s="8">
        <f ca="1">lambda*(a-B394)*dt</f>
        <v>2.8339502922743344E-4</v>
      </c>
      <c r="D395" s="8">
        <f ca="1">sigma*SQRT(dt)*_xlfn.NORM.S.INV(RAND())</f>
        <v>4.2140854561408328E-3</v>
      </c>
      <c r="E395" s="8">
        <f t="shared" ca="1" si="61"/>
        <v>4.4974804853682663E-3</v>
      </c>
      <c r="G395" s="8">
        <f t="shared" ca="1" si="62"/>
        <v>6.1169772775340103</v>
      </c>
      <c r="H395" s="8">
        <f>mu*dt</f>
        <v>2.5000000000000005E-3</v>
      </c>
      <c r="I395" s="8">
        <f t="shared" ca="1" si="63"/>
        <v>4.2140854561408328E-3</v>
      </c>
      <c r="J395" s="8">
        <f t="shared" ca="1" si="64"/>
        <v>6.7140854561408333E-3</v>
      </c>
      <c r="L395" s="8">
        <f t="shared" ca="1" si="65"/>
        <v>14.915087084106011</v>
      </c>
      <c r="M395" s="8">
        <f ca="1">mu*L394*dt</f>
        <v>3.7039034467636373E-2</v>
      </c>
      <c r="N395" s="8">
        <f t="shared" ca="1" si="66"/>
        <v>6.2434262583826179E-2</v>
      </c>
      <c r="O395" s="8">
        <f t="shared" ca="1" si="67"/>
        <v>9.9473297051462545E-2</v>
      </c>
      <c r="Q395" s="7">
        <f t="shared" si="68"/>
        <v>19.200000000000138</v>
      </c>
      <c r="R395" s="8">
        <f t="shared" ca="1" si="69"/>
        <v>1.6635301930939322E-3</v>
      </c>
      <c r="S395" s="8">
        <f t="shared" ca="1" si="70"/>
        <v>6.1169772775340103</v>
      </c>
      <c r="T395" s="8">
        <f t="shared" ca="1" si="71"/>
        <v>14.915087084106011</v>
      </c>
    </row>
    <row r="396" spans="1:20" x14ac:dyDescent="0.25">
      <c r="A396" s="7">
        <f>A395+dt</f>
        <v>19.250000000000139</v>
      </c>
      <c r="B396" s="8">
        <f t="shared" ca="1" si="60"/>
        <v>-7.1547840215673295E-3</v>
      </c>
      <c r="C396" s="8">
        <f ca="1">lambda*(a-B395)*dt</f>
        <v>-1.6635301930939322E-4</v>
      </c>
      <c r="D396" s="8">
        <f ca="1">sigma*SQRT(dt)*_xlfn.NORM.S.INV(RAND())</f>
        <v>-8.651961195351868E-3</v>
      </c>
      <c r="E396" s="8">
        <f t="shared" ca="1" si="61"/>
        <v>-8.8183142146612617E-3</v>
      </c>
      <c r="G396" s="8">
        <f t="shared" ca="1" si="62"/>
        <v>6.1108253163386586</v>
      </c>
      <c r="H396" s="8">
        <f>mu*dt</f>
        <v>2.5000000000000005E-3</v>
      </c>
      <c r="I396" s="8">
        <f t="shared" ca="1" si="63"/>
        <v>-8.651961195351868E-3</v>
      </c>
      <c r="J396" s="8">
        <f t="shared" ca="1" si="64"/>
        <v>-6.1519611953518676E-3</v>
      </c>
      <c r="L396" s="8">
        <f t="shared" ca="1" si="65"/>
        <v>14.823330047139297</v>
      </c>
      <c r="M396" s="8">
        <f ca="1">mu*L395*dt</f>
        <v>3.7287717710265032E-2</v>
      </c>
      <c r="N396" s="8">
        <f t="shared" ca="1" si="66"/>
        <v>-0.12904475467697904</v>
      </c>
      <c r="O396" s="8">
        <f t="shared" ca="1" si="67"/>
        <v>-9.1757036966714001E-2</v>
      </c>
      <c r="Q396" s="7">
        <f t="shared" si="68"/>
        <v>19.250000000000139</v>
      </c>
      <c r="R396" s="8">
        <f t="shared" ca="1" si="69"/>
        <v>-7.1547840215673295E-3</v>
      </c>
      <c r="S396" s="8">
        <f t="shared" ca="1" si="70"/>
        <v>6.1108253163386586</v>
      </c>
      <c r="T396" s="8">
        <f t="shared" ca="1" si="71"/>
        <v>14.823330047139297</v>
      </c>
    </row>
    <row r="397" spans="1:20" x14ac:dyDescent="0.25">
      <c r="A397" s="7">
        <f>A396+dt</f>
        <v>19.300000000000139</v>
      </c>
      <c r="B397" s="8">
        <f t="shared" ref="B397:B460" ca="1" si="72">B396+E397</f>
        <v>-4.7030757260942994E-3</v>
      </c>
      <c r="C397" s="8">
        <f ca="1">lambda*(a-B396)*dt</f>
        <v>7.1547840215673301E-4</v>
      </c>
      <c r="D397" s="8">
        <f ca="1">sigma*SQRT(dt)*_xlfn.NORM.S.INV(RAND())</f>
        <v>1.7362298933162972E-3</v>
      </c>
      <c r="E397" s="8">
        <f t="shared" ref="E397:E460" ca="1" si="73">C397+D397</f>
        <v>2.4517082954730301E-3</v>
      </c>
      <c r="G397" s="8">
        <f t="shared" ref="G397:G460" ca="1" si="74">G396+J397</f>
        <v>6.1150615462319751</v>
      </c>
      <c r="H397" s="8">
        <f>mu*dt</f>
        <v>2.5000000000000005E-3</v>
      </c>
      <c r="I397" s="8">
        <f t="shared" ref="I397:I460" ca="1" si="75">D397</f>
        <v>1.7362298933162972E-3</v>
      </c>
      <c r="J397" s="8">
        <f t="shared" ref="J397:J460" ca="1" si="76">H397+I397</f>
        <v>4.2362298933162979E-3</v>
      </c>
      <c r="L397" s="8">
        <f t="shared" ref="L397:L460" ca="1" si="77">L396+O397</f>
        <v>14.886125081003483</v>
      </c>
      <c r="M397" s="8">
        <f ca="1">mu*L396*dt</f>
        <v>3.7058325117848248E-2</v>
      </c>
      <c r="N397" s="8">
        <f t="shared" ref="N397:N460" ca="1" si="78">L396*D397</f>
        <v>2.5736708746336923E-2</v>
      </c>
      <c r="O397" s="8">
        <f t="shared" ref="O397:O460" ca="1" si="79">M397+N397</f>
        <v>6.2795033864185168E-2</v>
      </c>
      <c r="Q397" s="7">
        <f t="shared" ref="Q397:Q460" si="80">A397</f>
        <v>19.300000000000139</v>
      </c>
      <c r="R397" s="8">
        <f t="shared" ref="R397:R460" ca="1" si="81">B397</f>
        <v>-4.7030757260942994E-3</v>
      </c>
      <c r="S397" s="8">
        <f t="shared" ref="S397:S460" ca="1" si="82">G397</f>
        <v>6.1150615462319751</v>
      </c>
      <c r="T397" s="8">
        <f t="shared" ref="T397:T460" ca="1" si="83">L397</f>
        <v>14.886125081003483</v>
      </c>
    </row>
    <row r="398" spans="1:20" x14ac:dyDescent="0.25">
      <c r="A398" s="7">
        <f>A397+dt</f>
        <v>19.35000000000014</v>
      </c>
      <c r="B398" s="8">
        <f t="shared" ca="1" si="72"/>
        <v>-1.0677398891221209E-2</v>
      </c>
      <c r="C398" s="8">
        <f ca="1">lambda*(a-B397)*dt</f>
        <v>4.7030757260942997E-4</v>
      </c>
      <c r="D398" s="8">
        <f ca="1">sigma*SQRT(dt)*_xlfn.NORM.S.INV(RAND())</f>
        <v>-6.4446307377363406E-3</v>
      </c>
      <c r="E398" s="8">
        <f t="shared" ca="1" si="73"/>
        <v>-5.9743231651269105E-3</v>
      </c>
      <c r="G398" s="8">
        <f t="shared" ca="1" si="74"/>
        <v>6.1111169154942386</v>
      </c>
      <c r="H398" s="8">
        <f>mu*dt</f>
        <v>2.5000000000000005E-3</v>
      </c>
      <c r="I398" s="8">
        <f t="shared" ca="1" si="75"/>
        <v>-6.4446307377363406E-3</v>
      </c>
      <c r="J398" s="8">
        <f t="shared" ca="1" si="76"/>
        <v>-3.9446307377363401E-3</v>
      </c>
      <c r="L398" s="8">
        <f t="shared" ca="1" si="77"/>
        <v>14.827404814443168</v>
      </c>
      <c r="M398" s="8">
        <f ca="1">mu*L397*dt</f>
        <v>3.7215312702508711E-2</v>
      </c>
      <c r="N398" s="8">
        <f t="shared" ca="1" si="78"/>
        <v>-9.5935579262822923E-2</v>
      </c>
      <c r="O398" s="8">
        <f t="shared" ca="1" si="79"/>
        <v>-5.8720266560314212E-2</v>
      </c>
      <c r="Q398" s="7">
        <f t="shared" si="80"/>
        <v>19.35000000000014</v>
      </c>
      <c r="R398" s="8">
        <f t="shared" ca="1" si="81"/>
        <v>-1.0677398891221209E-2</v>
      </c>
      <c r="S398" s="8">
        <f t="shared" ca="1" si="82"/>
        <v>6.1111169154942386</v>
      </c>
      <c r="T398" s="8">
        <f t="shared" ca="1" si="83"/>
        <v>14.827404814443168</v>
      </c>
    </row>
    <row r="399" spans="1:20" x14ac:dyDescent="0.25">
      <c r="A399" s="7">
        <f>A398+dt</f>
        <v>19.400000000000141</v>
      </c>
      <c r="B399" s="8">
        <f t="shared" ca="1" si="72"/>
        <v>3.1409203561567501E-3</v>
      </c>
      <c r="C399" s="8">
        <f ca="1">lambda*(a-B398)*dt</f>
        <v>1.067739889122121E-3</v>
      </c>
      <c r="D399" s="8">
        <f ca="1">sigma*SQRT(dt)*_xlfn.NORM.S.INV(RAND())</f>
        <v>1.2750579358255838E-2</v>
      </c>
      <c r="E399" s="8">
        <f t="shared" ca="1" si="73"/>
        <v>1.3818319247377959E-2</v>
      </c>
      <c r="G399" s="8">
        <f t="shared" ca="1" si="74"/>
        <v>6.1263674948524942</v>
      </c>
      <c r="H399" s="8">
        <f>mu*dt</f>
        <v>2.5000000000000005E-3</v>
      </c>
      <c r="I399" s="8">
        <f t="shared" ca="1" si="75"/>
        <v>1.2750579358255838E-2</v>
      </c>
      <c r="J399" s="8">
        <f t="shared" ca="1" si="76"/>
        <v>1.5250579358255838E-2</v>
      </c>
      <c r="L399" s="8">
        <f t="shared" ca="1" si="77"/>
        <v>15.053531328242819</v>
      </c>
      <c r="M399" s="8">
        <f ca="1">mu*L398*dt</f>
        <v>3.7068512036107927E-2</v>
      </c>
      <c r="N399" s="8">
        <f t="shared" ca="1" si="78"/>
        <v>0.18905800176354229</v>
      </c>
      <c r="O399" s="8">
        <f t="shared" ca="1" si="79"/>
        <v>0.22612651379965021</v>
      </c>
      <c r="Q399" s="7">
        <f t="shared" si="80"/>
        <v>19.400000000000141</v>
      </c>
      <c r="R399" s="8">
        <f t="shared" ca="1" si="81"/>
        <v>3.1409203561567501E-3</v>
      </c>
      <c r="S399" s="8">
        <f t="shared" ca="1" si="82"/>
        <v>6.1263674948524942</v>
      </c>
      <c r="T399" s="8">
        <f t="shared" ca="1" si="83"/>
        <v>15.053531328242819</v>
      </c>
    </row>
    <row r="400" spans="1:20" x14ac:dyDescent="0.25">
      <c r="A400" s="7">
        <f>A399+dt</f>
        <v>19.450000000000141</v>
      </c>
      <c r="B400" s="8">
        <f t="shared" ca="1" si="72"/>
        <v>-2.1051469225026711E-3</v>
      </c>
      <c r="C400" s="8">
        <f ca="1">lambda*(a-B399)*dt</f>
        <v>-3.1409203561567504E-4</v>
      </c>
      <c r="D400" s="8">
        <f ca="1">sigma*SQRT(dt)*_xlfn.NORM.S.INV(RAND())</f>
        <v>-4.9319752430437465E-3</v>
      </c>
      <c r="E400" s="8">
        <f t="shared" ca="1" si="73"/>
        <v>-5.2460672786594212E-3</v>
      </c>
      <c r="G400" s="8">
        <f t="shared" ca="1" si="74"/>
        <v>6.12393551960945</v>
      </c>
      <c r="H400" s="8">
        <f>mu*dt</f>
        <v>2.5000000000000005E-3</v>
      </c>
      <c r="I400" s="8">
        <f t="shared" ca="1" si="75"/>
        <v>-4.9319752430437465E-3</v>
      </c>
      <c r="J400" s="8">
        <f t="shared" ca="1" si="76"/>
        <v>-2.431975243043746E-3</v>
      </c>
      <c r="L400" s="8">
        <f t="shared" ca="1" si="77"/>
        <v>15.01692151273215</v>
      </c>
      <c r="M400" s="8">
        <f ca="1">mu*L399*dt</f>
        <v>3.7633828320607049E-2</v>
      </c>
      <c r="N400" s="8">
        <f t="shared" ca="1" si="78"/>
        <v>-7.4243643831277031E-2</v>
      </c>
      <c r="O400" s="8">
        <f t="shared" ca="1" si="79"/>
        <v>-3.6609815510669982E-2</v>
      </c>
      <c r="Q400" s="7">
        <f t="shared" si="80"/>
        <v>19.450000000000141</v>
      </c>
      <c r="R400" s="8">
        <f t="shared" ca="1" si="81"/>
        <v>-2.1051469225026711E-3</v>
      </c>
      <c r="S400" s="8">
        <f t="shared" ca="1" si="82"/>
        <v>6.12393551960945</v>
      </c>
      <c r="T400" s="8">
        <f t="shared" ca="1" si="83"/>
        <v>15.01692151273215</v>
      </c>
    </row>
    <row r="401" spans="1:20" x14ac:dyDescent="0.25">
      <c r="A401" s="7">
        <f>A400+dt</f>
        <v>19.500000000000142</v>
      </c>
      <c r="B401" s="8">
        <f t="shared" ca="1" si="72"/>
        <v>-3.0366003934237567E-3</v>
      </c>
      <c r="C401" s="8">
        <f ca="1">lambda*(a-B400)*dt</f>
        <v>2.1051469225026712E-4</v>
      </c>
      <c r="D401" s="8">
        <f ca="1">sigma*SQRT(dt)*_xlfn.NORM.S.INV(RAND())</f>
        <v>-1.1419681631713527E-3</v>
      </c>
      <c r="E401" s="8">
        <f t="shared" ca="1" si="73"/>
        <v>-9.314534709210856E-4</v>
      </c>
      <c r="G401" s="8">
        <f t="shared" ca="1" si="74"/>
        <v>6.125293551446279</v>
      </c>
      <c r="H401" s="8">
        <f>mu*dt</f>
        <v>2.5000000000000005E-3</v>
      </c>
      <c r="I401" s="8">
        <f t="shared" ca="1" si="75"/>
        <v>-1.1419681631713527E-3</v>
      </c>
      <c r="J401" s="8">
        <f t="shared" ca="1" si="76"/>
        <v>1.3580318368286478E-3</v>
      </c>
      <c r="L401" s="8">
        <f t="shared" ca="1" si="77"/>
        <v>15.037314970237597</v>
      </c>
      <c r="M401" s="8">
        <f ca="1">mu*L400*dt</f>
        <v>3.7542303781830377E-2</v>
      </c>
      <c r="N401" s="8">
        <f t="shared" ca="1" si="78"/>
        <v>-1.7148846276383103E-2</v>
      </c>
      <c r="O401" s="8">
        <f t="shared" ca="1" si="79"/>
        <v>2.0393457505447275E-2</v>
      </c>
      <c r="Q401" s="7">
        <f t="shared" si="80"/>
        <v>19.500000000000142</v>
      </c>
      <c r="R401" s="8">
        <f t="shared" ca="1" si="81"/>
        <v>-3.0366003934237567E-3</v>
      </c>
      <c r="S401" s="8">
        <f t="shared" ca="1" si="82"/>
        <v>6.125293551446279</v>
      </c>
      <c r="T401" s="8">
        <f t="shared" ca="1" si="83"/>
        <v>15.037314970237597</v>
      </c>
    </row>
    <row r="402" spans="1:20" x14ac:dyDescent="0.25">
      <c r="A402" s="7">
        <f>A401+dt</f>
        <v>19.550000000000143</v>
      </c>
      <c r="B402" s="8">
        <f t="shared" ca="1" si="72"/>
        <v>-3.0528091413947987E-3</v>
      </c>
      <c r="C402" s="8">
        <f ca="1">lambda*(a-B401)*dt</f>
        <v>3.0366003934237569E-4</v>
      </c>
      <c r="D402" s="8">
        <f ca="1">sigma*SQRT(dt)*_xlfn.NORM.S.INV(RAND())</f>
        <v>-3.1986878731341759E-4</v>
      </c>
      <c r="E402" s="8">
        <f t="shared" ca="1" si="73"/>
        <v>-1.6208747971041906E-5</v>
      </c>
      <c r="G402" s="8">
        <f t="shared" ca="1" si="74"/>
        <v>6.127473682658966</v>
      </c>
      <c r="H402" s="8">
        <f>mu*dt</f>
        <v>2.5000000000000005E-3</v>
      </c>
      <c r="I402" s="8">
        <f t="shared" ca="1" si="75"/>
        <v>-3.1986878731341759E-4</v>
      </c>
      <c r="J402" s="8">
        <f t="shared" ca="1" si="76"/>
        <v>2.1801312126865828E-3</v>
      </c>
      <c r="L402" s="8">
        <f t="shared" ca="1" si="77"/>
        <v>15.070098289959212</v>
      </c>
      <c r="M402" s="8">
        <f ca="1">mu*L401*dt</f>
        <v>3.7593287425594001E-2</v>
      </c>
      <c r="N402" s="8">
        <f t="shared" ca="1" si="78"/>
        <v>-4.8099677039798007E-3</v>
      </c>
      <c r="O402" s="8">
        <f t="shared" ca="1" si="79"/>
        <v>3.2783319721614197E-2</v>
      </c>
      <c r="Q402" s="7">
        <f t="shared" si="80"/>
        <v>19.550000000000143</v>
      </c>
      <c r="R402" s="8">
        <f t="shared" ca="1" si="81"/>
        <v>-3.0528091413947987E-3</v>
      </c>
      <c r="S402" s="8">
        <f t="shared" ca="1" si="82"/>
        <v>6.127473682658966</v>
      </c>
      <c r="T402" s="8">
        <f t="shared" ca="1" si="83"/>
        <v>15.070098289959212</v>
      </c>
    </row>
    <row r="403" spans="1:20" x14ac:dyDescent="0.25">
      <c r="A403" s="7">
        <f>A402+dt</f>
        <v>19.600000000000144</v>
      </c>
      <c r="B403" s="8">
        <f t="shared" ca="1" si="72"/>
        <v>-1.1371555188351971E-2</v>
      </c>
      <c r="C403" s="8">
        <f ca="1">lambda*(a-B402)*dt</f>
        <v>3.0528091413947988E-4</v>
      </c>
      <c r="D403" s="8">
        <f ca="1">sigma*SQRT(dt)*_xlfn.NORM.S.INV(RAND())</f>
        <v>-8.6240269610966518E-3</v>
      </c>
      <c r="E403" s="8">
        <f t="shared" ca="1" si="73"/>
        <v>-8.3187460469571727E-3</v>
      </c>
      <c r="G403" s="8">
        <f t="shared" ca="1" si="74"/>
        <v>6.1213496556978697</v>
      </c>
      <c r="H403" s="8">
        <f>mu*dt</f>
        <v>2.5000000000000005E-3</v>
      </c>
      <c r="I403" s="8">
        <f t="shared" ca="1" si="75"/>
        <v>-8.6240269610966518E-3</v>
      </c>
      <c r="J403" s="8">
        <f t="shared" ca="1" si="76"/>
        <v>-6.1240269610966513E-3</v>
      </c>
      <c r="L403" s="8">
        <f t="shared" ca="1" si="77"/>
        <v>14.977808601725124</v>
      </c>
      <c r="M403" s="8">
        <f ca="1">mu*L402*dt</f>
        <v>3.7675245724898034E-2</v>
      </c>
      <c r="N403" s="8">
        <f t="shared" ca="1" si="78"/>
        <v>-0.12996493395898479</v>
      </c>
      <c r="O403" s="8">
        <f t="shared" ca="1" si="79"/>
        <v>-9.2289688234086759E-2</v>
      </c>
      <c r="Q403" s="7">
        <f t="shared" si="80"/>
        <v>19.600000000000144</v>
      </c>
      <c r="R403" s="8">
        <f t="shared" ca="1" si="81"/>
        <v>-1.1371555188351971E-2</v>
      </c>
      <c r="S403" s="8">
        <f t="shared" ca="1" si="82"/>
        <v>6.1213496556978697</v>
      </c>
      <c r="T403" s="8">
        <f t="shared" ca="1" si="83"/>
        <v>14.977808601725124</v>
      </c>
    </row>
    <row r="404" spans="1:20" x14ac:dyDescent="0.25">
      <c r="A404" s="7">
        <f>A403+dt</f>
        <v>19.650000000000144</v>
      </c>
      <c r="B404" s="8">
        <f t="shared" ca="1" si="72"/>
        <v>1.9671149460419313E-4</v>
      </c>
      <c r="C404" s="8">
        <f ca="1">lambda*(a-B403)*dt</f>
        <v>1.1371555188351972E-3</v>
      </c>
      <c r="D404" s="8">
        <f ca="1">sigma*SQRT(dt)*_xlfn.NORM.S.INV(RAND())</f>
        <v>1.0431111164120967E-2</v>
      </c>
      <c r="E404" s="8">
        <f t="shared" ca="1" si="73"/>
        <v>1.1568266682956165E-2</v>
      </c>
      <c r="G404" s="8">
        <f t="shared" ca="1" si="74"/>
        <v>6.1342807668619903</v>
      </c>
      <c r="H404" s="8">
        <f>mu*dt</f>
        <v>2.5000000000000005E-3</v>
      </c>
      <c r="I404" s="8">
        <f t="shared" ca="1" si="75"/>
        <v>1.0431111164120967E-2</v>
      </c>
      <c r="J404" s="8">
        <f t="shared" ca="1" si="76"/>
        <v>1.2931111164120967E-2</v>
      </c>
      <c r="L404" s="8">
        <f t="shared" ca="1" si="77"/>
        <v>15.171488309748959</v>
      </c>
      <c r="M404" s="8">
        <f ca="1">mu*L403*dt</f>
        <v>3.7444521504312815E-2</v>
      </c>
      <c r="N404" s="8">
        <f t="shared" ca="1" si="78"/>
        <v>0.15623518651952198</v>
      </c>
      <c r="O404" s="8">
        <f t="shared" ca="1" si="79"/>
        <v>0.1936797080238348</v>
      </c>
      <c r="Q404" s="7">
        <f t="shared" si="80"/>
        <v>19.650000000000144</v>
      </c>
      <c r="R404" s="8">
        <f t="shared" ca="1" si="81"/>
        <v>1.9671149460419313E-4</v>
      </c>
      <c r="S404" s="8">
        <f t="shared" ca="1" si="82"/>
        <v>6.1342807668619903</v>
      </c>
      <c r="T404" s="8">
        <f t="shared" ca="1" si="83"/>
        <v>15.171488309748959</v>
      </c>
    </row>
    <row r="405" spans="1:20" x14ac:dyDescent="0.25">
      <c r="A405" s="7">
        <f>A404+dt</f>
        <v>19.700000000000145</v>
      </c>
      <c r="B405" s="8">
        <f t="shared" ca="1" si="72"/>
        <v>5.3388478862495328E-3</v>
      </c>
      <c r="C405" s="8">
        <f ca="1">lambda*(a-B404)*dt</f>
        <v>-1.9671149460419313E-5</v>
      </c>
      <c r="D405" s="8">
        <f ca="1">sigma*SQRT(dt)*_xlfn.NORM.S.INV(RAND())</f>
        <v>5.1618075411057592E-3</v>
      </c>
      <c r="E405" s="8">
        <f t="shared" ca="1" si="73"/>
        <v>5.1421363916453397E-3</v>
      </c>
      <c r="G405" s="8">
        <f t="shared" ca="1" si="74"/>
        <v>6.141942574403096</v>
      </c>
      <c r="H405" s="8">
        <f>mu*dt</f>
        <v>2.5000000000000005E-3</v>
      </c>
      <c r="I405" s="8">
        <f t="shared" ca="1" si="75"/>
        <v>5.1618075411057592E-3</v>
      </c>
      <c r="J405" s="8">
        <f t="shared" ca="1" si="76"/>
        <v>7.6618075411057597E-3</v>
      </c>
      <c r="L405" s="8">
        <f t="shared" ca="1" si="77"/>
        <v>15.287729333290391</v>
      </c>
      <c r="M405" s="8">
        <f ca="1">mu*L404*dt</f>
        <v>3.7928720774372399E-2</v>
      </c>
      <c r="N405" s="8">
        <f t="shared" ca="1" si="78"/>
        <v>7.8312302767060041E-2</v>
      </c>
      <c r="O405" s="8">
        <f t="shared" ca="1" si="79"/>
        <v>0.11624102354143244</v>
      </c>
      <c r="Q405" s="7">
        <f t="shared" si="80"/>
        <v>19.700000000000145</v>
      </c>
      <c r="R405" s="8">
        <f t="shared" ca="1" si="81"/>
        <v>5.3388478862495328E-3</v>
      </c>
      <c r="S405" s="8">
        <f t="shared" ca="1" si="82"/>
        <v>6.141942574403096</v>
      </c>
      <c r="T405" s="8">
        <f t="shared" ca="1" si="83"/>
        <v>15.287729333290391</v>
      </c>
    </row>
    <row r="406" spans="1:20" x14ac:dyDescent="0.25">
      <c r="A406" s="7">
        <f>A405+dt</f>
        <v>19.750000000000146</v>
      </c>
      <c r="B406" s="8">
        <f t="shared" ca="1" si="72"/>
        <v>-9.9572623708500067E-4</v>
      </c>
      <c r="C406" s="8">
        <f ca="1">lambda*(a-B405)*dt</f>
        <v>-5.338847886249533E-4</v>
      </c>
      <c r="D406" s="8">
        <f ca="1">sigma*SQRT(dt)*_xlfn.NORM.S.INV(RAND())</f>
        <v>-5.8006893347095799E-3</v>
      </c>
      <c r="E406" s="8">
        <f t="shared" ca="1" si="73"/>
        <v>-6.3345741233345335E-3</v>
      </c>
      <c r="G406" s="8">
        <f t="shared" ca="1" si="74"/>
        <v>6.1386418850683864</v>
      </c>
      <c r="H406" s="8">
        <f>mu*dt</f>
        <v>2.5000000000000005E-3</v>
      </c>
      <c r="I406" s="8">
        <f t="shared" ca="1" si="75"/>
        <v>-5.8006893347095799E-3</v>
      </c>
      <c r="J406" s="8">
        <f t="shared" ca="1" si="76"/>
        <v>-3.3006893347095794E-3</v>
      </c>
      <c r="L406" s="8">
        <f t="shared" ca="1" si="77"/>
        <v>15.237269288128074</v>
      </c>
      <c r="M406" s="8">
        <f ca="1">mu*L405*dt</f>
        <v>3.8219323333225981E-2</v>
      </c>
      <c r="N406" s="8">
        <f t="shared" ca="1" si="78"/>
        <v>-8.8679368495544364E-2</v>
      </c>
      <c r="O406" s="8">
        <f t="shared" ca="1" si="79"/>
        <v>-5.0460045162318383E-2</v>
      </c>
      <c r="Q406" s="7">
        <f t="shared" si="80"/>
        <v>19.750000000000146</v>
      </c>
      <c r="R406" s="8">
        <f t="shared" ca="1" si="81"/>
        <v>-9.9572623708500067E-4</v>
      </c>
      <c r="S406" s="8">
        <f t="shared" ca="1" si="82"/>
        <v>6.1386418850683864</v>
      </c>
      <c r="T406" s="8">
        <f t="shared" ca="1" si="83"/>
        <v>15.237269288128074</v>
      </c>
    </row>
    <row r="407" spans="1:20" x14ac:dyDescent="0.25">
      <c r="A407" s="7">
        <f>A406+dt</f>
        <v>19.800000000000146</v>
      </c>
      <c r="B407" s="8">
        <f t="shared" ca="1" si="72"/>
        <v>-1.5533915588262007E-2</v>
      </c>
      <c r="C407" s="8">
        <f ca="1">lambda*(a-B406)*dt</f>
        <v>9.9572623708500077E-5</v>
      </c>
      <c r="D407" s="8">
        <f ca="1">sigma*SQRT(dt)*_xlfn.NORM.S.INV(RAND())</f>
        <v>-1.4637761974885508E-2</v>
      </c>
      <c r="E407" s="8">
        <f t="shared" ca="1" si="73"/>
        <v>-1.4538189351177008E-2</v>
      </c>
      <c r="G407" s="8">
        <f t="shared" ca="1" si="74"/>
        <v>6.1265041230935005</v>
      </c>
      <c r="H407" s="8">
        <f>mu*dt</f>
        <v>2.5000000000000005E-3</v>
      </c>
      <c r="I407" s="8">
        <f t="shared" ca="1" si="75"/>
        <v>-1.4637761974885508E-2</v>
      </c>
      <c r="J407" s="8">
        <f t="shared" ca="1" si="76"/>
        <v>-1.2137761974885508E-2</v>
      </c>
      <c r="L407" s="8">
        <f t="shared" ca="1" si="77"/>
        <v>15.052322940361542</v>
      </c>
      <c r="M407" s="8">
        <f ca="1">mu*L406*dt</f>
        <v>3.8093173220320187E-2</v>
      </c>
      <c r="N407" s="8">
        <f t="shared" ca="1" si="78"/>
        <v>-0.2230395209868519</v>
      </c>
      <c r="O407" s="8">
        <f t="shared" ca="1" si="79"/>
        <v>-0.18494634776653171</v>
      </c>
      <c r="Q407" s="7">
        <f t="shared" si="80"/>
        <v>19.800000000000146</v>
      </c>
      <c r="R407" s="8">
        <f t="shared" ca="1" si="81"/>
        <v>-1.5533915588262007E-2</v>
      </c>
      <c r="S407" s="8">
        <f t="shared" ca="1" si="82"/>
        <v>6.1265041230935005</v>
      </c>
      <c r="T407" s="8">
        <f t="shared" ca="1" si="83"/>
        <v>15.052322940361542</v>
      </c>
    </row>
    <row r="408" spans="1:20" x14ac:dyDescent="0.25">
      <c r="A408" s="7">
        <f>A407+dt</f>
        <v>19.850000000000147</v>
      </c>
      <c r="B408" s="8">
        <f t="shared" ca="1" si="72"/>
        <v>-9.6563831604189569E-3</v>
      </c>
      <c r="C408" s="8">
        <f ca="1">lambda*(a-B407)*dt</f>
        <v>1.5533915588262009E-3</v>
      </c>
      <c r="D408" s="8">
        <f ca="1">sigma*SQRT(dt)*_xlfn.NORM.S.INV(RAND())</f>
        <v>4.3241408690168504E-3</v>
      </c>
      <c r="E408" s="8">
        <f t="shared" ca="1" si="73"/>
        <v>5.8775324278430513E-3</v>
      </c>
      <c r="G408" s="8">
        <f t="shared" ca="1" si="74"/>
        <v>6.1333282639625173</v>
      </c>
      <c r="H408" s="8">
        <f>mu*dt</f>
        <v>2.5000000000000005E-3</v>
      </c>
      <c r="I408" s="8">
        <f t="shared" ca="1" si="75"/>
        <v>4.3241408690168504E-3</v>
      </c>
      <c r="J408" s="8">
        <f t="shared" ca="1" si="76"/>
        <v>6.8241408690168509E-3</v>
      </c>
      <c r="L408" s="8">
        <f t="shared" ca="1" si="77"/>
        <v>15.155042112512502</v>
      </c>
      <c r="M408" s="8">
        <f ca="1">mu*L407*dt</f>
        <v>3.7630807350903857E-2</v>
      </c>
      <c r="N408" s="8">
        <f t="shared" ca="1" si="78"/>
        <v>6.5088364800057225E-2</v>
      </c>
      <c r="O408" s="8">
        <f t="shared" ca="1" si="79"/>
        <v>0.10271917215096107</v>
      </c>
      <c r="Q408" s="7">
        <f t="shared" si="80"/>
        <v>19.850000000000147</v>
      </c>
      <c r="R408" s="8">
        <f t="shared" ca="1" si="81"/>
        <v>-9.6563831604189569E-3</v>
      </c>
      <c r="S408" s="8">
        <f t="shared" ca="1" si="82"/>
        <v>6.1333282639625173</v>
      </c>
      <c r="T408" s="8">
        <f t="shared" ca="1" si="83"/>
        <v>15.155042112512502</v>
      </c>
    </row>
    <row r="409" spans="1:20" x14ac:dyDescent="0.25">
      <c r="A409" s="7">
        <f>A408+dt</f>
        <v>19.900000000000148</v>
      </c>
      <c r="B409" s="8">
        <f t="shared" ca="1" si="72"/>
        <v>-3.8513311177809997E-2</v>
      </c>
      <c r="C409" s="8">
        <f ca="1">lambda*(a-B408)*dt</f>
        <v>9.6563831604189578E-4</v>
      </c>
      <c r="D409" s="8">
        <f ca="1">sigma*SQRT(dt)*_xlfn.NORM.S.INV(RAND())</f>
        <v>-2.9822566333432936E-2</v>
      </c>
      <c r="E409" s="8">
        <f t="shared" ca="1" si="73"/>
        <v>-2.885692801739104E-2</v>
      </c>
      <c r="G409" s="8">
        <f t="shared" ca="1" si="74"/>
        <v>6.106005697629084</v>
      </c>
      <c r="H409" s="8">
        <f>mu*dt</f>
        <v>2.5000000000000005E-3</v>
      </c>
      <c r="I409" s="8">
        <f t="shared" ca="1" si="75"/>
        <v>-2.9822566333432936E-2</v>
      </c>
      <c r="J409" s="8">
        <f t="shared" ca="1" si="76"/>
        <v>-2.7322566333432934E-2</v>
      </c>
      <c r="L409" s="8">
        <f t="shared" ca="1" si="77"/>
        <v>14.74096746910741</v>
      </c>
      <c r="M409" s="8">
        <f ca="1">mu*L408*dt</f>
        <v>3.788760528128126E-2</v>
      </c>
      <c r="N409" s="8">
        <f t="shared" ca="1" si="78"/>
        <v>-0.45196224868637369</v>
      </c>
      <c r="O409" s="8">
        <f t="shared" ca="1" si="79"/>
        <v>-0.41407464340509242</v>
      </c>
      <c r="Q409" s="7">
        <f t="shared" si="80"/>
        <v>19.900000000000148</v>
      </c>
      <c r="R409" s="8">
        <f t="shared" ca="1" si="81"/>
        <v>-3.8513311177809997E-2</v>
      </c>
      <c r="S409" s="8">
        <f t="shared" ca="1" si="82"/>
        <v>6.106005697629084</v>
      </c>
      <c r="T409" s="8">
        <f t="shared" ca="1" si="83"/>
        <v>14.74096746910741</v>
      </c>
    </row>
    <row r="410" spans="1:20" x14ac:dyDescent="0.25">
      <c r="A410" s="7">
        <f>A409+dt</f>
        <v>19.950000000000149</v>
      </c>
      <c r="B410" s="8">
        <f t="shared" ca="1" si="72"/>
        <v>-3.241155456842968E-2</v>
      </c>
      <c r="C410" s="8">
        <f ca="1">lambda*(a-B409)*dt</f>
        <v>3.8513311177809997E-3</v>
      </c>
      <c r="D410" s="8">
        <f ca="1">sigma*SQRT(dt)*_xlfn.NORM.S.INV(RAND())</f>
        <v>2.2504254915993159E-3</v>
      </c>
      <c r="E410" s="8">
        <f t="shared" ca="1" si="73"/>
        <v>6.1017566093803152E-3</v>
      </c>
      <c r="G410" s="8">
        <f t="shared" ca="1" si="74"/>
        <v>6.1107561231206828</v>
      </c>
      <c r="H410" s="8">
        <f>mu*dt</f>
        <v>2.5000000000000005E-3</v>
      </c>
      <c r="I410" s="8">
        <f t="shared" ca="1" si="75"/>
        <v>2.2504254915993159E-3</v>
      </c>
      <c r="J410" s="8">
        <f t="shared" ca="1" si="76"/>
        <v>4.7504254915993159E-3</v>
      </c>
      <c r="L410" s="8">
        <f t="shared" ca="1" si="77"/>
        <v>14.810993336743493</v>
      </c>
      <c r="M410" s="8">
        <f ca="1">mu*L409*dt</f>
        <v>3.6852418672768526E-2</v>
      </c>
      <c r="N410" s="8">
        <f t="shared" ca="1" si="78"/>
        <v>3.3173448963315567E-2</v>
      </c>
      <c r="O410" s="8">
        <f t="shared" ca="1" si="79"/>
        <v>7.0025867636084094E-2</v>
      </c>
      <c r="Q410" s="7">
        <f t="shared" si="80"/>
        <v>19.950000000000149</v>
      </c>
      <c r="R410" s="8">
        <f t="shared" ca="1" si="81"/>
        <v>-3.241155456842968E-2</v>
      </c>
      <c r="S410" s="8">
        <f t="shared" ca="1" si="82"/>
        <v>6.1107561231206828</v>
      </c>
      <c r="T410" s="8">
        <f t="shared" ca="1" si="83"/>
        <v>14.810993336743493</v>
      </c>
    </row>
    <row r="411" spans="1:20" x14ac:dyDescent="0.25">
      <c r="A411" s="7">
        <f>A410+dt</f>
        <v>20.000000000000149</v>
      </c>
      <c r="B411" s="8">
        <f t="shared" ca="1" si="72"/>
        <v>-1.7702551038737621E-2</v>
      </c>
      <c r="C411" s="8">
        <f ca="1">lambda*(a-B410)*dt</f>
        <v>3.2411554568429683E-3</v>
      </c>
      <c r="D411" s="8">
        <f ca="1">sigma*SQRT(dt)*_xlfn.NORM.S.INV(RAND())</f>
        <v>1.1467848072849089E-2</v>
      </c>
      <c r="E411" s="8">
        <f t="shared" ca="1" si="73"/>
        <v>1.4709003529692058E-2</v>
      </c>
      <c r="G411" s="8">
        <f t="shared" ca="1" si="74"/>
        <v>6.1247239711935322</v>
      </c>
      <c r="H411" s="8">
        <f>mu*dt</f>
        <v>2.5000000000000005E-3</v>
      </c>
      <c r="I411" s="8">
        <f t="shared" ca="1" si="75"/>
        <v>1.1467848072849089E-2</v>
      </c>
      <c r="J411" s="8">
        <f t="shared" ca="1" si="76"/>
        <v>1.3967848072849089E-2</v>
      </c>
      <c r="L411" s="8">
        <f t="shared" ca="1" si="77"/>
        <v>15.017871041479106</v>
      </c>
      <c r="M411" s="8">
        <f ca="1">mu*L410*dt</f>
        <v>3.7027483341858736E-2</v>
      </c>
      <c r="N411" s="8">
        <f t="shared" ca="1" si="78"/>
        <v>0.16985022139375458</v>
      </c>
      <c r="O411" s="8">
        <f t="shared" ca="1" si="79"/>
        <v>0.20687770473561332</v>
      </c>
      <c r="Q411" s="7">
        <f t="shared" si="80"/>
        <v>20.000000000000149</v>
      </c>
      <c r="R411" s="8">
        <f t="shared" ca="1" si="81"/>
        <v>-1.7702551038737621E-2</v>
      </c>
      <c r="S411" s="8">
        <f t="shared" ca="1" si="82"/>
        <v>6.1247239711935322</v>
      </c>
      <c r="T411" s="8">
        <f t="shared" ca="1" si="83"/>
        <v>15.017871041479106</v>
      </c>
    </row>
    <row r="412" spans="1:20" x14ac:dyDescent="0.25">
      <c r="A412" s="7">
        <f>A411+dt</f>
        <v>20.05000000000015</v>
      </c>
      <c r="B412" s="8">
        <f t="shared" ca="1" si="72"/>
        <v>-2.2267068285992734E-2</v>
      </c>
      <c r="C412" s="8">
        <f ca="1">lambda*(a-B411)*dt</f>
        <v>1.7702551038737621E-3</v>
      </c>
      <c r="D412" s="8">
        <f ca="1">sigma*SQRT(dt)*_xlfn.NORM.S.INV(RAND())</f>
        <v>-6.334772351128874E-3</v>
      </c>
      <c r="E412" s="8">
        <f t="shared" ca="1" si="73"/>
        <v>-4.5645172472551119E-3</v>
      </c>
      <c r="G412" s="8">
        <f t="shared" ca="1" si="74"/>
        <v>6.120889198842403</v>
      </c>
      <c r="H412" s="8">
        <f>mu*dt</f>
        <v>2.5000000000000005E-3</v>
      </c>
      <c r="I412" s="8">
        <f t="shared" ca="1" si="75"/>
        <v>-6.334772351128874E-3</v>
      </c>
      <c r="J412" s="8">
        <f t="shared" ca="1" si="76"/>
        <v>-3.8347723511288736E-3</v>
      </c>
      <c r="L412" s="8">
        <f t="shared" ca="1" si="77"/>
        <v>14.960280924836423</v>
      </c>
      <c r="M412" s="8">
        <f ca="1">mu*L411*dt</f>
        <v>3.7544677603697771E-2</v>
      </c>
      <c r="N412" s="8">
        <f t="shared" ca="1" si="78"/>
        <v>-9.5134794246380827E-2</v>
      </c>
      <c r="O412" s="8">
        <f t="shared" ca="1" si="79"/>
        <v>-5.7590116642683056E-2</v>
      </c>
      <c r="Q412" s="7">
        <f t="shared" si="80"/>
        <v>20.05000000000015</v>
      </c>
      <c r="R412" s="8">
        <f t="shared" ca="1" si="81"/>
        <v>-2.2267068285992734E-2</v>
      </c>
      <c r="S412" s="8">
        <f t="shared" ca="1" si="82"/>
        <v>6.120889198842403</v>
      </c>
      <c r="T412" s="8">
        <f t="shared" ca="1" si="83"/>
        <v>14.960280924836423</v>
      </c>
    </row>
    <row r="413" spans="1:20" x14ac:dyDescent="0.25">
      <c r="A413" s="7">
        <f>A412+dt</f>
        <v>20.100000000000151</v>
      </c>
      <c r="B413" s="8">
        <f t="shared" ca="1" si="72"/>
        <v>-8.4558650048228295E-3</v>
      </c>
      <c r="C413" s="8">
        <f ca="1">lambda*(a-B412)*dt</f>
        <v>2.2267068285992736E-3</v>
      </c>
      <c r="D413" s="8">
        <f ca="1">sigma*SQRT(dt)*_xlfn.NORM.S.INV(RAND())</f>
        <v>1.1584496452570632E-2</v>
      </c>
      <c r="E413" s="8">
        <f t="shared" ca="1" si="73"/>
        <v>1.3811203281169904E-2</v>
      </c>
      <c r="G413" s="8">
        <f t="shared" ca="1" si="74"/>
        <v>6.134973695294974</v>
      </c>
      <c r="H413" s="8">
        <f>mu*dt</f>
        <v>2.5000000000000005E-3</v>
      </c>
      <c r="I413" s="8">
        <f t="shared" ca="1" si="75"/>
        <v>1.1584496452570632E-2</v>
      </c>
      <c r="J413" s="8">
        <f t="shared" ca="1" si="76"/>
        <v>1.4084496452570632E-2</v>
      </c>
      <c r="L413" s="8">
        <f t="shared" ca="1" si="77"/>
        <v>15.170988948451742</v>
      </c>
      <c r="M413" s="8">
        <f ca="1">mu*L412*dt</f>
        <v>3.7400702312091062E-2</v>
      </c>
      <c r="N413" s="8">
        <f t="shared" ca="1" si="78"/>
        <v>0.17330732130322762</v>
      </c>
      <c r="O413" s="8">
        <f t="shared" ca="1" si="79"/>
        <v>0.21070802361531868</v>
      </c>
      <c r="Q413" s="7">
        <f t="shared" si="80"/>
        <v>20.100000000000151</v>
      </c>
      <c r="R413" s="8">
        <f t="shared" ca="1" si="81"/>
        <v>-8.4558650048228295E-3</v>
      </c>
      <c r="S413" s="8">
        <f t="shared" ca="1" si="82"/>
        <v>6.134973695294974</v>
      </c>
      <c r="T413" s="8">
        <f t="shared" ca="1" si="83"/>
        <v>15.170988948451742</v>
      </c>
    </row>
    <row r="414" spans="1:20" x14ac:dyDescent="0.25">
      <c r="A414" s="7">
        <f>A413+dt</f>
        <v>20.150000000000151</v>
      </c>
      <c r="B414" s="8">
        <f t="shared" ca="1" si="72"/>
        <v>3.8224477686343346E-3</v>
      </c>
      <c r="C414" s="8">
        <f ca="1">lambda*(a-B413)*dt</f>
        <v>8.4558650048228295E-4</v>
      </c>
      <c r="D414" s="8">
        <f ca="1">sigma*SQRT(dt)*_xlfn.NORM.S.INV(RAND())</f>
        <v>1.1432726272974881E-2</v>
      </c>
      <c r="E414" s="8">
        <f t="shared" ca="1" si="73"/>
        <v>1.2278312773457164E-2</v>
      </c>
      <c r="G414" s="8">
        <f t="shared" ca="1" si="74"/>
        <v>6.1489064215679488</v>
      </c>
      <c r="H414" s="8">
        <f>mu*dt</f>
        <v>2.5000000000000005E-3</v>
      </c>
      <c r="I414" s="8">
        <f t="shared" ca="1" si="75"/>
        <v>1.1432726272974881E-2</v>
      </c>
      <c r="J414" s="8">
        <f t="shared" ca="1" si="76"/>
        <v>1.3932726272974882E-2</v>
      </c>
      <c r="L414" s="8">
        <f t="shared" ca="1" si="77"/>
        <v>15.382362184760847</v>
      </c>
      <c r="M414" s="8">
        <f ca="1">mu*L413*dt</f>
        <v>3.792747237112936E-2</v>
      </c>
      <c r="N414" s="8">
        <f t="shared" ca="1" si="78"/>
        <v>0.17344576393797578</v>
      </c>
      <c r="O414" s="8">
        <f t="shared" ca="1" si="79"/>
        <v>0.21137323630910515</v>
      </c>
      <c r="Q414" s="7">
        <f t="shared" si="80"/>
        <v>20.150000000000151</v>
      </c>
      <c r="R414" s="8">
        <f t="shared" ca="1" si="81"/>
        <v>3.8224477686343346E-3</v>
      </c>
      <c r="S414" s="8">
        <f t="shared" ca="1" si="82"/>
        <v>6.1489064215679488</v>
      </c>
      <c r="T414" s="8">
        <f t="shared" ca="1" si="83"/>
        <v>15.382362184760847</v>
      </c>
    </row>
    <row r="415" spans="1:20" x14ac:dyDescent="0.25">
      <c r="A415" s="7">
        <f>A414+dt</f>
        <v>20.200000000000152</v>
      </c>
      <c r="B415" s="8">
        <f t="shared" ca="1" si="72"/>
        <v>4.3232108479011877E-3</v>
      </c>
      <c r="C415" s="8">
        <f ca="1">lambda*(a-B414)*dt</f>
        <v>-3.8224477686343351E-4</v>
      </c>
      <c r="D415" s="8">
        <f ca="1">sigma*SQRT(dt)*_xlfn.NORM.S.INV(RAND())</f>
        <v>8.8300785613028656E-4</v>
      </c>
      <c r="E415" s="8">
        <f t="shared" ca="1" si="73"/>
        <v>5.0076307926685305E-4</v>
      </c>
      <c r="G415" s="8">
        <f t="shared" ca="1" si="74"/>
        <v>6.1522894294240791</v>
      </c>
      <c r="H415" s="8">
        <f>mu*dt</f>
        <v>2.5000000000000005E-3</v>
      </c>
      <c r="I415" s="8">
        <f t="shared" ca="1" si="75"/>
        <v>8.8300785613028656E-4</v>
      </c>
      <c r="J415" s="8">
        <f t="shared" ca="1" si="76"/>
        <v>3.3830078561302868E-3</v>
      </c>
      <c r="L415" s="8">
        <f t="shared" ca="1" si="77"/>
        <v>15.434400836877735</v>
      </c>
      <c r="M415" s="8">
        <f ca="1">mu*L414*dt</f>
        <v>3.8455905461902119E-2</v>
      </c>
      <c r="N415" s="8">
        <f t="shared" ca="1" si="78"/>
        <v>1.3582746654985267E-2</v>
      </c>
      <c r="O415" s="8">
        <f t="shared" ca="1" si="79"/>
        <v>5.2038652116887386E-2</v>
      </c>
      <c r="Q415" s="7">
        <f t="shared" si="80"/>
        <v>20.200000000000152</v>
      </c>
      <c r="R415" s="8">
        <f t="shared" ca="1" si="81"/>
        <v>4.3232108479011877E-3</v>
      </c>
      <c r="S415" s="8">
        <f t="shared" ca="1" si="82"/>
        <v>6.1522894294240791</v>
      </c>
      <c r="T415" s="8">
        <f t="shared" ca="1" si="83"/>
        <v>15.434400836877735</v>
      </c>
    </row>
    <row r="416" spans="1:20" x14ac:dyDescent="0.25">
      <c r="A416" s="7">
        <f>A415+dt</f>
        <v>20.250000000000153</v>
      </c>
      <c r="B416" s="8">
        <f t="shared" ca="1" si="72"/>
        <v>-5.505525145685022E-3</v>
      </c>
      <c r="C416" s="8">
        <f ca="1">lambda*(a-B415)*dt</f>
        <v>-4.3232108479011877E-4</v>
      </c>
      <c r="D416" s="8">
        <f ca="1">sigma*SQRT(dt)*_xlfn.NORM.S.INV(RAND())</f>
        <v>-9.396414908796091E-3</v>
      </c>
      <c r="E416" s="8">
        <f t="shared" ca="1" si="73"/>
        <v>-9.8287359935862097E-3</v>
      </c>
      <c r="G416" s="8">
        <f t="shared" ca="1" si="74"/>
        <v>6.1453930145152826</v>
      </c>
      <c r="H416" s="8">
        <f>mu*dt</f>
        <v>2.5000000000000005E-3</v>
      </c>
      <c r="I416" s="8">
        <f t="shared" ca="1" si="75"/>
        <v>-9.396414908796091E-3</v>
      </c>
      <c r="J416" s="8">
        <f t="shared" ca="1" si="76"/>
        <v>-6.8964149087960905E-3</v>
      </c>
      <c r="L416" s="8">
        <f t="shared" ca="1" si="77"/>
        <v>15.327958804837957</v>
      </c>
      <c r="M416" s="8">
        <f ca="1">mu*L415*dt</f>
        <v>3.8586002092194344E-2</v>
      </c>
      <c r="N416" s="8">
        <f t="shared" ca="1" si="78"/>
        <v>-0.14502803413197282</v>
      </c>
      <c r="O416" s="8">
        <f t="shared" ca="1" si="79"/>
        <v>-0.10644203203977848</v>
      </c>
      <c r="Q416" s="7">
        <f t="shared" si="80"/>
        <v>20.250000000000153</v>
      </c>
      <c r="R416" s="8">
        <f t="shared" ca="1" si="81"/>
        <v>-5.505525145685022E-3</v>
      </c>
      <c r="S416" s="8">
        <f t="shared" ca="1" si="82"/>
        <v>6.1453930145152826</v>
      </c>
      <c r="T416" s="8">
        <f t="shared" ca="1" si="83"/>
        <v>15.327958804837957</v>
      </c>
    </row>
    <row r="417" spans="1:20" x14ac:dyDescent="0.25">
      <c r="A417" s="7">
        <f>A416+dt</f>
        <v>20.300000000000153</v>
      </c>
      <c r="B417" s="8">
        <f t="shared" ca="1" si="72"/>
        <v>-2.0232462156609433E-2</v>
      </c>
      <c r="C417" s="8">
        <f ca="1">lambda*(a-B416)*dt</f>
        <v>5.5055251456850223E-4</v>
      </c>
      <c r="D417" s="8">
        <f ca="1">sigma*SQRT(dt)*_xlfn.NORM.S.INV(RAND())</f>
        <v>-1.5277489525492911E-2</v>
      </c>
      <c r="E417" s="8">
        <f t="shared" ca="1" si="73"/>
        <v>-1.472693701092441E-2</v>
      </c>
      <c r="G417" s="8">
        <f t="shared" ca="1" si="74"/>
        <v>6.1326155249897898</v>
      </c>
      <c r="H417" s="8">
        <f>mu*dt</f>
        <v>2.5000000000000005E-3</v>
      </c>
      <c r="I417" s="8">
        <f t="shared" ca="1" si="75"/>
        <v>-1.5277489525492911E-2</v>
      </c>
      <c r="J417" s="8">
        <f t="shared" ca="1" si="76"/>
        <v>-1.2777489525492911E-2</v>
      </c>
      <c r="L417" s="8">
        <f t="shared" ca="1" si="77"/>
        <v>15.132105971761954</v>
      </c>
      <c r="M417" s="8">
        <f ca="1">mu*L416*dt</f>
        <v>3.83198970120949E-2</v>
      </c>
      <c r="N417" s="8">
        <f t="shared" ca="1" si="78"/>
        <v>-0.23417273008809872</v>
      </c>
      <c r="O417" s="8">
        <f t="shared" ca="1" si="79"/>
        <v>-0.19585283307600382</v>
      </c>
      <c r="Q417" s="7">
        <f t="shared" si="80"/>
        <v>20.300000000000153</v>
      </c>
      <c r="R417" s="8">
        <f t="shared" ca="1" si="81"/>
        <v>-2.0232462156609433E-2</v>
      </c>
      <c r="S417" s="8">
        <f t="shared" ca="1" si="82"/>
        <v>6.1326155249897898</v>
      </c>
      <c r="T417" s="8">
        <f t="shared" ca="1" si="83"/>
        <v>15.132105971761954</v>
      </c>
    </row>
    <row r="418" spans="1:20" x14ac:dyDescent="0.25">
      <c r="A418" s="7">
        <f>A417+dt</f>
        <v>20.350000000000154</v>
      </c>
      <c r="B418" s="8">
        <f t="shared" ca="1" si="72"/>
        <v>-2.6364669728419693E-2</v>
      </c>
      <c r="C418" s="8">
        <f ca="1">lambda*(a-B417)*dt</f>
        <v>2.0232462156609433E-3</v>
      </c>
      <c r="D418" s="8">
        <f ca="1">sigma*SQRT(dt)*_xlfn.NORM.S.INV(RAND())</f>
        <v>-8.1554537874712028E-3</v>
      </c>
      <c r="E418" s="8">
        <f t="shared" ca="1" si="73"/>
        <v>-6.1322075718102595E-3</v>
      </c>
      <c r="G418" s="8">
        <f t="shared" ca="1" si="74"/>
        <v>6.1269600712023182</v>
      </c>
      <c r="H418" s="8">
        <f>mu*dt</f>
        <v>2.5000000000000005E-3</v>
      </c>
      <c r="I418" s="8">
        <f t="shared" ca="1" si="75"/>
        <v>-8.1554537874712028E-3</v>
      </c>
      <c r="J418" s="8">
        <f t="shared" ca="1" si="76"/>
        <v>-5.6554537874712024E-3</v>
      </c>
      <c r="L418" s="8">
        <f t="shared" ca="1" si="77"/>
        <v>15.046527045731537</v>
      </c>
      <c r="M418" s="8">
        <f ca="1">mu*L417*dt</f>
        <v>3.7830264929404889E-2</v>
      </c>
      <c r="N418" s="8">
        <f t="shared" ca="1" si="78"/>
        <v>-0.12340919095982163</v>
      </c>
      <c r="O418" s="8">
        <f t="shared" ca="1" si="79"/>
        <v>-8.5578926030416738E-2</v>
      </c>
      <c r="Q418" s="7">
        <f t="shared" si="80"/>
        <v>20.350000000000154</v>
      </c>
      <c r="R418" s="8">
        <f t="shared" ca="1" si="81"/>
        <v>-2.6364669728419693E-2</v>
      </c>
      <c r="S418" s="8">
        <f t="shared" ca="1" si="82"/>
        <v>6.1269600712023182</v>
      </c>
      <c r="T418" s="8">
        <f t="shared" ca="1" si="83"/>
        <v>15.046527045731537</v>
      </c>
    </row>
    <row r="419" spans="1:20" x14ac:dyDescent="0.25">
      <c r="A419" s="7">
        <f>A418+dt</f>
        <v>20.400000000000155</v>
      </c>
      <c r="B419" s="8">
        <f t="shared" ca="1" si="72"/>
        <v>-1.3313869144207622E-2</v>
      </c>
      <c r="C419" s="8">
        <f ca="1">lambda*(a-B418)*dt</f>
        <v>2.6364669728419694E-3</v>
      </c>
      <c r="D419" s="8">
        <f ca="1">sigma*SQRT(dt)*_xlfn.NORM.S.INV(RAND())</f>
        <v>1.0414333611370102E-2</v>
      </c>
      <c r="E419" s="8">
        <f t="shared" ca="1" si="73"/>
        <v>1.3050800584212071E-2</v>
      </c>
      <c r="G419" s="8">
        <f t="shared" ca="1" si="74"/>
        <v>6.1398744048136882</v>
      </c>
      <c r="H419" s="8">
        <f>mu*dt</f>
        <v>2.5000000000000005E-3</v>
      </c>
      <c r="I419" s="8">
        <f t="shared" ca="1" si="75"/>
        <v>1.0414333611370102E-2</v>
      </c>
      <c r="J419" s="8">
        <f t="shared" ca="1" si="76"/>
        <v>1.2914333611370102E-2</v>
      </c>
      <c r="L419" s="8">
        <f t="shared" ca="1" si="77"/>
        <v>15.240842915692618</v>
      </c>
      <c r="M419" s="8">
        <f ca="1">mu*L418*dt</f>
        <v>3.7616317614328848E-2</v>
      </c>
      <c r="N419" s="8">
        <f t="shared" ca="1" si="78"/>
        <v>0.15669955234675123</v>
      </c>
      <c r="O419" s="8">
        <f t="shared" ca="1" si="79"/>
        <v>0.19431586996108008</v>
      </c>
      <c r="Q419" s="7">
        <f t="shared" si="80"/>
        <v>20.400000000000155</v>
      </c>
      <c r="R419" s="8">
        <f t="shared" ca="1" si="81"/>
        <v>-1.3313869144207622E-2</v>
      </c>
      <c r="S419" s="8">
        <f t="shared" ca="1" si="82"/>
        <v>6.1398744048136882</v>
      </c>
      <c r="T419" s="8">
        <f t="shared" ca="1" si="83"/>
        <v>15.240842915692618</v>
      </c>
    </row>
    <row r="420" spans="1:20" x14ac:dyDescent="0.25">
      <c r="A420" s="7">
        <f>A419+dt</f>
        <v>20.450000000000156</v>
      </c>
      <c r="B420" s="8">
        <f t="shared" ca="1" si="72"/>
        <v>-1.6342079304576092E-2</v>
      </c>
      <c r="C420" s="8">
        <f ca="1">lambda*(a-B419)*dt</f>
        <v>1.3313869144207624E-3</v>
      </c>
      <c r="D420" s="8">
        <f ca="1">sigma*SQRT(dt)*_xlfn.NORM.S.INV(RAND())</f>
        <v>-4.3595970747892327E-3</v>
      </c>
      <c r="E420" s="8">
        <f t="shared" ca="1" si="73"/>
        <v>-3.0282101603684702E-3</v>
      </c>
      <c r="G420" s="8">
        <f t="shared" ca="1" si="74"/>
        <v>6.138014807738899</v>
      </c>
      <c r="H420" s="8">
        <f>mu*dt</f>
        <v>2.5000000000000005E-3</v>
      </c>
      <c r="I420" s="8">
        <f t="shared" ca="1" si="75"/>
        <v>-4.3595970747892327E-3</v>
      </c>
      <c r="J420" s="8">
        <f t="shared" ca="1" si="76"/>
        <v>-1.8595970747892323E-3</v>
      </c>
      <c r="L420" s="8">
        <f t="shared" ca="1" si="77"/>
        <v>15.212501088789274</v>
      </c>
      <c r="M420" s="8">
        <f ca="1">mu*L419*dt</f>
        <v>3.8102107289231552E-2</v>
      </c>
      <c r="N420" s="8">
        <f t="shared" ca="1" si="78"/>
        <v>-6.6443934192575743E-2</v>
      </c>
      <c r="O420" s="8">
        <f t="shared" ca="1" si="79"/>
        <v>-2.8341826903344192E-2</v>
      </c>
      <c r="Q420" s="7">
        <f t="shared" si="80"/>
        <v>20.450000000000156</v>
      </c>
      <c r="R420" s="8">
        <f t="shared" ca="1" si="81"/>
        <v>-1.6342079304576092E-2</v>
      </c>
      <c r="S420" s="8">
        <f t="shared" ca="1" si="82"/>
        <v>6.138014807738899</v>
      </c>
      <c r="T420" s="8">
        <f t="shared" ca="1" si="83"/>
        <v>15.212501088789274</v>
      </c>
    </row>
    <row r="421" spans="1:20" x14ac:dyDescent="0.25">
      <c r="A421" s="7">
        <f>A420+dt</f>
        <v>20.500000000000156</v>
      </c>
      <c r="B421" s="8">
        <f t="shared" ca="1" si="72"/>
        <v>-1.5413158319496609E-2</v>
      </c>
      <c r="C421" s="8">
        <f ca="1">lambda*(a-B420)*dt</f>
        <v>1.6342079304576093E-3</v>
      </c>
      <c r="D421" s="8">
        <f ca="1">sigma*SQRT(dt)*_xlfn.NORM.S.INV(RAND())</f>
        <v>-7.0528694537812589E-4</v>
      </c>
      <c r="E421" s="8">
        <f t="shared" ca="1" si="73"/>
        <v>9.2892098507948344E-4</v>
      </c>
      <c r="G421" s="8">
        <f t="shared" ca="1" si="74"/>
        <v>6.1398095207935208</v>
      </c>
      <c r="H421" s="8">
        <f>mu*dt</f>
        <v>2.5000000000000005E-3</v>
      </c>
      <c r="I421" s="8">
        <f t="shared" ca="1" si="75"/>
        <v>-7.0528694537812589E-4</v>
      </c>
      <c r="J421" s="8">
        <f t="shared" ca="1" si="76"/>
        <v>1.7947130546218746E-3</v>
      </c>
      <c r="L421" s="8">
        <f t="shared" ca="1" si="77"/>
        <v>15.239803163086775</v>
      </c>
      <c r="M421" s="8">
        <f ca="1">mu*L420*dt</f>
        <v>3.8031252721973191E-2</v>
      </c>
      <c r="N421" s="8">
        <f t="shared" ca="1" si="78"/>
        <v>-1.0729178424473601E-2</v>
      </c>
      <c r="O421" s="8">
        <f t="shared" ca="1" si="79"/>
        <v>2.730207429749959E-2</v>
      </c>
      <c r="Q421" s="7">
        <f t="shared" si="80"/>
        <v>20.500000000000156</v>
      </c>
      <c r="R421" s="8">
        <f t="shared" ca="1" si="81"/>
        <v>-1.5413158319496609E-2</v>
      </c>
      <c r="S421" s="8">
        <f t="shared" ca="1" si="82"/>
        <v>6.1398095207935208</v>
      </c>
      <c r="T421" s="8">
        <f t="shared" ca="1" si="83"/>
        <v>15.239803163086775</v>
      </c>
    </row>
    <row r="422" spans="1:20" x14ac:dyDescent="0.25">
      <c r="A422" s="7">
        <f>A421+dt</f>
        <v>20.550000000000157</v>
      </c>
      <c r="B422" s="8">
        <f t="shared" ca="1" si="72"/>
        <v>-1.1008802841955441E-4</v>
      </c>
      <c r="C422" s="8">
        <f ca="1">lambda*(a-B421)*dt</f>
        <v>1.541315831949661E-3</v>
      </c>
      <c r="D422" s="8">
        <f ca="1">sigma*SQRT(dt)*_xlfn.NORM.S.INV(RAND())</f>
        <v>1.3761754459127393E-2</v>
      </c>
      <c r="E422" s="8">
        <f t="shared" ca="1" si="73"/>
        <v>1.5303070291077055E-2</v>
      </c>
      <c r="G422" s="8">
        <f t="shared" ca="1" si="74"/>
        <v>6.1560712752526481</v>
      </c>
      <c r="H422" s="8">
        <f>mu*dt</f>
        <v>2.5000000000000005E-3</v>
      </c>
      <c r="I422" s="8">
        <f t="shared" ca="1" si="75"/>
        <v>1.3761754459127393E-2</v>
      </c>
      <c r="J422" s="8">
        <f t="shared" ca="1" si="76"/>
        <v>1.6261754459127392E-2</v>
      </c>
      <c r="L422" s="8">
        <f t="shared" ca="1" si="77"/>
        <v>15.487629100130325</v>
      </c>
      <c r="M422" s="8">
        <f ca="1">mu*L421*dt</f>
        <v>3.8099507907716941E-2</v>
      </c>
      <c r="N422" s="8">
        <f t="shared" ca="1" si="78"/>
        <v>0.20972642913583317</v>
      </c>
      <c r="O422" s="8">
        <f t="shared" ca="1" si="79"/>
        <v>0.2478259370435501</v>
      </c>
      <c r="Q422" s="7">
        <f t="shared" si="80"/>
        <v>20.550000000000157</v>
      </c>
      <c r="R422" s="8">
        <f t="shared" ca="1" si="81"/>
        <v>-1.1008802841955441E-4</v>
      </c>
      <c r="S422" s="8">
        <f t="shared" ca="1" si="82"/>
        <v>6.1560712752526481</v>
      </c>
      <c r="T422" s="8">
        <f t="shared" ca="1" si="83"/>
        <v>15.487629100130325</v>
      </c>
    </row>
    <row r="423" spans="1:20" x14ac:dyDescent="0.25">
      <c r="A423" s="7">
        <f>A422+dt</f>
        <v>20.600000000000158</v>
      </c>
      <c r="B423" s="8">
        <f t="shared" ca="1" si="72"/>
        <v>1.9865533217471048E-4</v>
      </c>
      <c r="C423" s="8">
        <f ca="1">lambda*(a-B422)*dt</f>
        <v>1.1008802841955441E-5</v>
      </c>
      <c r="D423" s="8">
        <f ca="1">sigma*SQRT(dt)*_xlfn.NORM.S.INV(RAND())</f>
        <v>2.9773455775230947E-4</v>
      </c>
      <c r="E423" s="8">
        <f t="shared" ca="1" si="73"/>
        <v>3.0874336059426489E-4</v>
      </c>
      <c r="G423" s="8">
        <f t="shared" ca="1" si="74"/>
        <v>6.1588690098104006</v>
      </c>
      <c r="H423" s="8">
        <f>mu*dt</f>
        <v>2.5000000000000005E-3</v>
      </c>
      <c r="I423" s="8">
        <f t="shared" ca="1" si="75"/>
        <v>2.9773455775230947E-4</v>
      </c>
      <c r="J423" s="8">
        <f t="shared" ca="1" si="76"/>
        <v>2.7977345577523101E-3</v>
      </c>
      <c r="L423" s="8">
        <f t="shared" ca="1" si="77"/>
        <v>15.530959375281411</v>
      </c>
      <c r="M423" s="8">
        <f ca="1">mu*L422*dt</f>
        <v>3.8719072750325823E-2</v>
      </c>
      <c r="N423" s="8">
        <f t="shared" ca="1" si="78"/>
        <v>4.6112024007591013E-3</v>
      </c>
      <c r="O423" s="8">
        <f t="shared" ca="1" si="79"/>
        <v>4.3330275151084924E-2</v>
      </c>
      <c r="Q423" s="7">
        <f t="shared" si="80"/>
        <v>20.600000000000158</v>
      </c>
      <c r="R423" s="8">
        <f t="shared" ca="1" si="81"/>
        <v>1.9865533217471048E-4</v>
      </c>
      <c r="S423" s="8">
        <f t="shared" ca="1" si="82"/>
        <v>6.1588690098104006</v>
      </c>
      <c r="T423" s="8">
        <f t="shared" ca="1" si="83"/>
        <v>15.530959375281411</v>
      </c>
    </row>
    <row r="424" spans="1:20" x14ac:dyDescent="0.25">
      <c r="A424" s="7">
        <f>A423+dt</f>
        <v>20.650000000000158</v>
      </c>
      <c r="B424" s="8">
        <f t="shared" ca="1" si="72"/>
        <v>1.0615634079501508E-2</v>
      </c>
      <c r="C424" s="8">
        <f ca="1">lambda*(a-B423)*dt</f>
        <v>-1.9865533217471049E-5</v>
      </c>
      <c r="D424" s="8">
        <f ca="1">sigma*SQRT(dt)*_xlfn.NORM.S.INV(RAND())</f>
        <v>1.0436844280544269E-2</v>
      </c>
      <c r="E424" s="8">
        <f t="shared" ca="1" si="73"/>
        <v>1.0416978747326798E-2</v>
      </c>
      <c r="G424" s="8">
        <f t="shared" ca="1" si="74"/>
        <v>6.1718058540909446</v>
      </c>
      <c r="H424" s="8">
        <f>mu*dt</f>
        <v>2.5000000000000005E-3</v>
      </c>
      <c r="I424" s="8">
        <f t="shared" ca="1" si="75"/>
        <v>1.0436844280544269E-2</v>
      </c>
      <c r="J424" s="8">
        <f t="shared" ca="1" si="76"/>
        <v>1.293684428054427E-2</v>
      </c>
      <c r="L424" s="8">
        <f t="shared" ca="1" si="77"/>
        <v>15.731880978246885</v>
      </c>
      <c r="M424" s="8">
        <f ca="1">mu*L423*dt</f>
        <v>3.8827398438203535E-2</v>
      </c>
      <c r="N424" s="8">
        <f t="shared" ca="1" si="78"/>
        <v>0.16209420452727119</v>
      </c>
      <c r="O424" s="8">
        <f t="shared" ca="1" si="79"/>
        <v>0.20092160296547473</v>
      </c>
      <c r="Q424" s="7">
        <f t="shared" si="80"/>
        <v>20.650000000000158</v>
      </c>
      <c r="R424" s="8">
        <f t="shared" ca="1" si="81"/>
        <v>1.0615634079501508E-2</v>
      </c>
      <c r="S424" s="8">
        <f t="shared" ca="1" si="82"/>
        <v>6.1718058540909446</v>
      </c>
      <c r="T424" s="8">
        <f t="shared" ca="1" si="83"/>
        <v>15.731880978246885</v>
      </c>
    </row>
    <row r="425" spans="1:20" x14ac:dyDescent="0.25">
      <c r="A425" s="7">
        <f>A424+dt</f>
        <v>20.700000000000159</v>
      </c>
      <c r="B425" s="8">
        <f t="shared" ca="1" si="72"/>
        <v>-8.135140967293425E-3</v>
      </c>
      <c r="C425" s="8">
        <f ca="1">lambda*(a-B424)*dt</f>
        <v>-1.0615634079501508E-3</v>
      </c>
      <c r="D425" s="8">
        <f ca="1">sigma*SQRT(dt)*_xlfn.NORM.S.INV(RAND())</f>
        <v>-1.7689211638844782E-2</v>
      </c>
      <c r="E425" s="8">
        <f t="shared" ca="1" si="73"/>
        <v>-1.8750775046794933E-2</v>
      </c>
      <c r="G425" s="8">
        <f t="shared" ca="1" si="74"/>
        <v>6.1566166424521001</v>
      </c>
      <c r="H425" s="8">
        <f>mu*dt</f>
        <v>2.5000000000000005E-3</v>
      </c>
      <c r="I425" s="8">
        <f t="shared" ca="1" si="75"/>
        <v>-1.7689211638844782E-2</v>
      </c>
      <c r="J425" s="8">
        <f t="shared" ca="1" si="76"/>
        <v>-1.5189211638844782E-2</v>
      </c>
      <c r="L425" s="8">
        <f t="shared" ca="1" si="77"/>
        <v>15.492926108591176</v>
      </c>
      <c r="M425" s="8">
        <f ca="1">mu*L424*dt</f>
        <v>3.9329702445617218E-2</v>
      </c>
      <c r="N425" s="8">
        <f t="shared" ca="1" si="78"/>
        <v>-0.27828457210132562</v>
      </c>
      <c r="O425" s="8">
        <f t="shared" ca="1" si="79"/>
        <v>-0.23895486965570839</v>
      </c>
      <c r="Q425" s="7">
        <f t="shared" si="80"/>
        <v>20.700000000000159</v>
      </c>
      <c r="R425" s="8">
        <f t="shared" ca="1" si="81"/>
        <v>-8.135140967293425E-3</v>
      </c>
      <c r="S425" s="8">
        <f t="shared" ca="1" si="82"/>
        <v>6.1566166424521001</v>
      </c>
      <c r="T425" s="8">
        <f t="shared" ca="1" si="83"/>
        <v>15.492926108591176</v>
      </c>
    </row>
    <row r="426" spans="1:20" x14ac:dyDescent="0.25">
      <c r="A426" s="7">
        <f>A425+dt</f>
        <v>20.75000000000016</v>
      </c>
      <c r="B426" s="8">
        <f t="shared" ca="1" si="72"/>
        <v>-3.9316005498381363E-3</v>
      </c>
      <c r="C426" s="8">
        <f ca="1">lambda*(a-B425)*dt</f>
        <v>8.1351409672934252E-4</v>
      </c>
      <c r="D426" s="8">
        <f ca="1">sigma*SQRT(dt)*_xlfn.NORM.S.INV(RAND())</f>
        <v>3.3900263207259462E-3</v>
      </c>
      <c r="E426" s="8">
        <f t="shared" ca="1" si="73"/>
        <v>4.2035404174552886E-3</v>
      </c>
      <c r="G426" s="8">
        <f t="shared" ca="1" si="74"/>
        <v>6.162506668772826</v>
      </c>
      <c r="H426" s="8">
        <f>mu*dt</f>
        <v>2.5000000000000005E-3</v>
      </c>
      <c r="I426" s="8">
        <f t="shared" ca="1" si="75"/>
        <v>3.3900263207259462E-3</v>
      </c>
      <c r="J426" s="8">
        <f t="shared" ca="1" si="76"/>
        <v>5.8900263207259471E-3</v>
      </c>
      <c r="L426" s="8">
        <f t="shared" ca="1" si="77"/>
        <v>15.58417985115584</v>
      </c>
      <c r="M426" s="8">
        <f ca="1">mu*L425*dt</f>
        <v>3.8732315271477941E-2</v>
      </c>
      <c r="N426" s="8">
        <f t="shared" ca="1" si="78"/>
        <v>5.2521427293186297E-2</v>
      </c>
      <c r="O426" s="8">
        <f t="shared" ca="1" si="79"/>
        <v>9.1253742564664231E-2</v>
      </c>
      <c r="Q426" s="7">
        <f t="shared" si="80"/>
        <v>20.75000000000016</v>
      </c>
      <c r="R426" s="8">
        <f t="shared" ca="1" si="81"/>
        <v>-3.9316005498381363E-3</v>
      </c>
      <c r="S426" s="8">
        <f t="shared" ca="1" si="82"/>
        <v>6.162506668772826</v>
      </c>
      <c r="T426" s="8">
        <f t="shared" ca="1" si="83"/>
        <v>15.58417985115584</v>
      </c>
    </row>
    <row r="427" spans="1:20" x14ac:dyDescent="0.25">
      <c r="A427" s="7">
        <f>A426+dt</f>
        <v>20.800000000000161</v>
      </c>
      <c r="B427" s="8">
        <f t="shared" ca="1" si="72"/>
        <v>-1.2794401523913312E-2</v>
      </c>
      <c r="C427" s="8">
        <f ca="1">lambda*(a-B426)*dt</f>
        <v>3.9316005498381365E-4</v>
      </c>
      <c r="D427" s="8">
        <f ca="1">sigma*SQRT(dt)*_xlfn.NORM.S.INV(RAND())</f>
        <v>-9.2559610290589896E-3</v>
      </c>
      <c r="E427" s="8">
        <f t="shared" ca="1" si="73"/>
        <v>-8.8628009740751752E-3</v>
      </c>
      <c r="G427" s="8">
        <f t="shared" ca="1" si="74"/>
        <v>6.155750707743767</v>
      </c>
      <c r="H427" s="8">
        <f>mu*dt</f>
        <v>2.5000000000000005E-3</v>
      </c>
      <c r="I427" s="8">
        <f t="shared" ca="1" si="75"/>
        <v>-9.2559610290589896E-3</v>
      </c>
      <c r="J427" s="8">
        <f t="shared" ca="1" si="76"/>
        <v>-6.7559610290589892E-3</v>
      </c>
      <c r="L427" s="8">
        <f t="shared" ca="1" si="77"/>
        <v>15.478893739411586</v>
      </c>
      <c r="M427" s="8">
        <f ca="1">mu*L426*dt</f>
        <v>3.896044962788961E-2</v>
      </c>
      <c r="N427" s="8">
        <f t="shared" ca="1" si="78"/>
        <v>-0.14424656137214478</v>
      </c>
      <c r="O427" s="8">
        <f t="shared" ca="1" si="79"/>
        <v>-0.10528611174425517</v>
      </c>
      <c r="Q427" s="7">
        <f t="shared" si="80"/>
        <v>20.800000000000161</v>
      </c>
      <c r="R427" s="8">
        <f t="shared" ca="1" si="81"/>
        <v>-1.2794401523913312E-2</v>
      </c>
      <c r="S427" s="8">
        <f t="shared" ca="1" si="82"/>
        <v>6.155750707743767</v>
      </c>
      <c r="T427" s="8">
        <f t="shared" ca="1" si="83"/>
        <v>15.478893739411586</v>
      </c>
    </row>
    <row r="428" spans="1:20" x14ac:dyDescent="0.25">
      <c r="A428" s="7">
        <f>A427+dt</f>
        <v>20.850000000000161</v>
      </c>
      <c r="B428" s="8">
        <f t="shared" ca="1" si="72"/>
        <v>-2.542196104179012E-2</v>
      </c>
      <c r="C428" s="8">
        <f ca="1">lambda*(a-B427)*dt</f>
        <v>1.2794401523913313E-3</v>
      </c>
      <c r="D428" s="8">
        <f ca="1">sigma*SQRT(dt)*_xlfn.NORM.S.INV(RAND())</f>
        <v>-1.3906999670268139E-2</v>
      </c>
      <c r="E428" s="8">
        <f t="shared" ca="1" si="73"/>
        <v>-1.2627559517876807E-2</v>
      </c>
      <c r="G428" s="8">
        <f t="shared" ca="1" si="74"/>
        <v>6.1443437080734986</v>
      </c>
      <c r="H428" s="8">
        <f>mu*dt</f>
        <v>2.5000000000000005E-3</v>
      </c>
      <c r="I428" s="8">
        <f t="shared" ca="1" si="75"/>
        <v>-1.3906999670268139E-2</v>
      </c>
      <c r="J428" s="8">
        <f t="shared" ca="1" si="76"/>
        <v>-1.1406999670268139E-2</v>
      </c>
      <c r="L428" s="8">
        <f t="shared" ca="1" si="77"/>
        <v>15.302326003630002</v>
      </c>
      <c r="M428" s="8">
        <f ca="1">mu*L427*dt</f>
        <v>3.8697234348528967E-2</v>
      </c>
      <c r="N428" s="8">
        <f t="shared" ca="1" si="78"/>
        <v>-0.21526497013011248</v>
      </c>
      <c r="O428" s="8">
        <f t="shared" ca="1" si="79"/>
        <v>-0.17656773578158352</v>
      </c>
      <c r="Q428" s="7">
        <f t="shared" si="80"/>
        <v>20.850000000000161</v>
      </c>
      <c r="R428" s="8">
        <f t="shared" ca="1" si="81"/>
        <v>-2.542196104179012E-2</v>
      </c>
      <c r="S428" s="8">
        <f t="shared" ca="1" si="82"/>
        <v>6.1443437080734986</v>
      </c>
      <c r="T428" s="8">
        <f t="shared" ca="1" si="83"/>
        <v>15.302326003630002</v>
      </c>
    </row>
    <row r="429" spans="1:20" x14ac:dyDescent="0.25">
      <c r="A429" s="7">
        <f>A428+dt</f>
        <v>20.900000000000162</v>
      </c>
      <c r="B429" s="8">
        <f t="shared" ca="1" si="72"/>
        <v>-3.2494700198846468E-3</v>
      </c>
      <c r="C429" s="8">
        <f ca="1">lambda*(a-B428)*dt</f>
        <v>2.5421961041790122E-3</v>
      </c>
      <c r="D429" s="8">
        <f ca="1">sigma*SQRT(dt)*_xlfn.NORM.S.INV(RAND())</f>
        <v>1.963029491772646E-2</v>
      </c>
      <c r="E429" s="8">
        <f t="shared" ca="1" si="73"/>
        <v>2.2172491021905473E-2</v>
      </c>
      <c r="G429" s="8">
        <f t="shared" ca="1" si="74"/>
        <v>6.1664740029912251</v>
      </c>
      <c r="H429" s="8">
        <f>mu*dt</f>
        <v>2.5000000000000005E-3</v>
      </c>
      <c r="I429" s="8">
        <f t="shared" ca="1" si="75"/>
        <v>1.963029491772646E-2</v>
      </c>
      <c r="J429" s="8">
        <f t="shared" ca="1" si="76"/>
        <v>2.2130294917726459E-2</v>
      </c>
      <c r="L429" s="8">
        <f t="shared" ca="1" si="77"/>
        <v>15.640970991017529</v>
      </c>
      <c r="M429" s="8">
        <f ca="1">mu*L428*dt</f>
        <v>3.825581500907501E-2</v>
      </c>
      <c r="N429" s="8">
        <f t="shared" ca="1" si="78"/>
        <v>0.30038917237845147</v>
      </c>
      <c r="O429" s="8">
        <f t="shared" ca="1" si="79"/>
        <v>0.33864498738752646</v>
      </c>
      <c r="Q429" s="7">
        <f t="shared" si="80"/>
        <v>20.900000000000162</v>
      </c>
      <c r="R429" s="8">
        <f t="shared" ca="1" si="81"/>
        <v>-3.2494700198846468E-3</v>
      </c>
      <c r="S429" s="8">
        <f t="shared" ca="1" si="82"/>
        <v>6.1664740029912251</v>
      </c>
      <c r="T429" s="8">
        <f t="shared" ca="1" si="83"/>
        <v>15.640970991017529</v>
      </c>
    </row>
    <row r="430" spans="1:20" x14ac:dyDescent="0.25">
      <c r="A430" s="7">
        <f>A429+dt</f>
        <v>20.950000000000163</v>
      </c>
      <c r="B430" s="8">
        <f t="shared" ca="1" si="72"/>
        <v>-9.2719730826444358E-3</v>
      </c>
      <c r="C430" s="8">
        <f ca="1">lambda*(a-B429)*dt</f>
        <v>3.249470019884647E-4</v>
      </c>
      <c r="D430" s="8">
        <f ca="1">sigma*SQRT(dt)*_xlfn.NORM.S.INV(RAND())</f>
        <v>-6.3474500647482546E-3</v>
      </c>
      <c r="E430" s="8">
        <f t="shared" ca="1" si="73"/>
        <v>-6.0225030627597898E-3</v>
      </c>
      <c r="G430" s="8">
        <f t="shared" ca="1" si="74"/>
        <v>6.1626265529264765</v>
      </c>
      <c r="H430" s="8">
        <f>mu*dt</f>
        <v>2.5000000000000005E-3</v>
      </c>
      <c r="I430" s="8">
        <f t="shared" ca="1" si="75"/>
        <v>-6.3474500647482546E-3</v>
      </c>
      <c r="J430" s="8">
        <f t="shared" ca="1" si="76"/>
        <v>-3.8474500647482542E-3</v>
      </c>
      <c r="L430" s="8">
        <f t="shared" ca="1" si="77"/>
        <v>15.580793136165413</v>
      </c>
      <c r="M430" s="8">
        <f ca="1">mu*L429*dt</f>
        <v>3.9102427477543826E-2</v>
      </c>
      <c r="N430" s="8">
        <f t="shared" ca="1" si="78"/>
        <v>-9.9280282329659783E-2</v>
      </c>
      <c r="O430" s="8">
        <f t="shared" ca="1" si="79"/>
        <v>-6.0177854852115957E-2</v>
      </c>
      <c r="Q430" s="7">
        <f t="shared" si="80"/>
        <v>20.950000000000163</v>
      </c>
      <c r="R430" s="8">
        <f t="shared" ca="1" si="81"/>
        <v>-9.2719730826444358E-3</v>
      </c>
      <c r="S430" s="8">
        <f t="shared" ca="1" si="82"/>
        <v>6.1626265529264765</v>
      </c>
      <c r="T430" s="8">
        <f t="shared" ca="1" si="83"/>
        <v>15.580793136165413</v>
      </c>
    </row>
    <row r="431" spans="1:20" x14ac:dyDescent="0.25">
      <c r="A431" s="7">
        <f>A430+dt</f>
        <v>21.000000000000163</v>
      </c>
      <c r="B431" s="8">
        <f t="shared" ca="1" si="72"/>
        <v>-1.1630862267301898E-2</v>
      </c>
      <c r="C431" s="8">
        <f ca="1">lambda*(a-B430)*dt</f>
        <v>9.2719730826444364E-4</v>
      </c>
      <c r="D431" s="8">
        <f ca="1">sigma*SQRT(dt)*_xlfn.NORM.S.INV(RAND())</f>
        <v>-3.2860864929219052E-3</v>
      </c>
      <c r="E431" s="8">
        <f t="shared" ca="1" si="73"/>
        <v>-2.3588891846574615E-3</v>
      </c>
      <c r="G431" s="8">
        <f t="shared" ca="1" si="74"/>
        <v>6.1618404664335547</v>
      </c>
      <c r="H431" s="8">
        <f>mu*dt</f>
        <v>2.5000000000000005E-3</v>
      </c>
      <c r="I431" s="8">
        <f t="shared" ca="1" si="75"/>
        <v>-3.2860864929219052E-3</v>
      </c>
      <c r="J431" s="8">
        <f t="shared" ca="1" si="76"/>
        <v>-7.8608649292190476E-4</v>
      </c>
      <c r="L431" s="8">
        <f t="shared" ca="1" si="77"/>
        <v>15.568545285132062</v>
      </c>
      <c r="M431" s="8">
        <f ca="1">mu*L430*dt</f>
        <v>3.895198284041354E-2</v>
      </c>
      <c r="N431" s="8">
        <f t="shared" ca="1" si="78"/>
        <v>-5.1199833873763492E-2</v>
      </c>
      <c r="O431" s="8">
        <f t="shared" ca="1" si="79"/>
        <v>-1.2247851033349952E-2</v>
      </c>
      <c r="Q431" s="7">
        <f t="shared" si="80"/>
        <v>21.000000000000163</v>
      </c>
      <c r="R431" s="8">
        <f t="shared" ca="1" si="81"/>
        <v>-1.1630862267301898E-2</v>
      </c>
      <c r="S431" s="8">
        <f t="shared" ca="1" si="82"/>
        <v>6.1618404664335547</v>
      </c>
      <c r="T431" s="8">
        <f t="shared" ca="1" si="83"/>
        <v>15.568545285132062</v>
      </c>
    </row>
    <row r="432" spans="1:20" x14ac:dyDescent="0.25">
      <c r="A432" s="7">
        <f>A431+dt</f>
        <v>21.050000000000164</v>
      </c>
      <c r="B432" s="8">
        <f t="shared" ca="1" si="72"/>
        <v>-6.4438268408692967E-3</v>
      </c>
      <c r="C432" s="8">
        <f ca="1">lambda*(a-B431)*dt</f>
        <v>1.1630862267301898E-3</v>
      </c>
      <c r="D432" s="8">
        <f ca="1">sigma*SQRT(dt)*_xlfn.NORM.S.INV(RAND())</f>
        <v>4.0239491997024115E-3</v>
      </c>
      <c r="E432" s="8">
        <f t="shared" ca="1" si="73"/>
        <v>5.1870354264326015E-3</v>
      </c>
      <c r="G432" s="8">
        <f t="shared" ca="1" si="74"/>
        <v>6.1683644156332571</v>
      </c>
      <c r="H432" s="8">
        <f>mu*dt</f>
        <v>2.5000000000000005E-3</v>
      </c>
      <c r="I432" s="8">
        <f t="shared" ca="1" si="75"/>
        <v>4.0239491997024115E-3</v>
      </c>
      <c r="J432" s="8">
        <f t="shared" ca="1" si="76"/>
        <v>6.523949199702412E-3</v>
      </c>
      <c r="L432" s="8">
        <f t="shared" ca="1" si="77"/>
        <v>15.67011368368553</v>
      </c>
      <c r="M432" s="8">
        <f ca="1">mu*L431*dt</f>
        <v>3.8921363212830157E-2</v>
      </c>
      <c r="N432" s="8">
        <f t="shared" ca="1" si="78"/>
        <v>6.264703534063791E-2</v>
      </c>
      <c r="O432" s="8">
        <f t="shared" ca="1" si="79"/>
        <v>0.10156839855346807</v>
      </c>
      <c r="Q432" s="7">
        <f t="shared" si="80"/>
        <v>21.050000000000164</v>
      </c>
      <c r="R432" s="8">
        <f t="shared" ca="1" si="81"/>
        <v>-6.4438268408692967E-3</v>
      </c>
      <c r="S432" s="8">
        <f t="shared" ca="1" si="82"/>
        <v>6.1683644156332571</v>
      </c>
      <c r="T432" s="8">
        <f t="shared" ca="1" si="83"/>
        <v>15.67011368368553</v>
      </c>
    </row>
    <row r="433" spans="1:20" x14ac:dyDescent="0.25">
      <c r="A433" s="7">
        <f>A432+dt</f>
        <v>21.100000000000165</v>
      </c>
      <c r="B433" s="8">
        <f t="shared" ca="1" si="72"/>
        <v>-1.4652112559012526E-2</v>
      </c>
      <c r="C433" s="8">
        <f ca="1">lambda*(a-B432)*dt</f>
        <v>6.4438268408692967E-4</v>
      </c>
      <c r="D433" s="8">
        <f ca="1">sigma*SQRT(dt)*_xlfn.NORM.S.INV(RAND())</f>
        <v>-8.8526684022301582E-3</v>
      </c>
      <c r="E433" s="8">
        <f t="shared" ca="1" si="73"/>
        <v>-8.2082857181432281E-3</v>
      </c>
      <c r="G433" s="8">
        <f t="shared" ca="1" si="74"/>
        <v>6.162011747231027</v>
      </c>
      <c r="H433" s="8">
        <f>mu*dt</f>
        <v>2.5000000000000005E-3</v>
      </c>
      <c r="I433" s="8">
        <f t="shared" ca="1" si="75"/>
        <v>-8.8526684022301582E-3</v>
      </c>
      <c r="J433" s="8">
        <f t="shared" ca="1" si="76"/>
        <v>-6.3526684022301577E-3</v>
      </c>
      <c r="L433" s="8">
        <f t="shared" ca="1" si="77"/>
        <v>15.570566647627826</v>
      </c>
      <c r="M433" s="8">
        <f ca="1">mu*L432*dt</f>
        <v>3.9175284209213831E-2</v>
      </c>
      <c r="N433" s="8">
        <f t="shared" ca="1" si="78"/>
        <v>-0.13872232026691733</v>
      </c>
      <c r="O433" s="8">
        <f t="shared" ca="1" si="79"/>
        <v>-9.95470360577035E-2</v>
      </c>
      <c r="Q433" s="7">
        <f t="shared" si="80"/>
        <v>21.100000000000165</v>
      </c>
      <c r="R433" s="8">
        <f t="shared" ca="1" si="81"/>
        <v>-1.4652112559012526E-2</v>
      </c>
      <c r="S433" s="8">
        <f t="shared" ca="1" si="82"/>
        <v>6.162011747231027</v>
      </c>
      <c r="T433" s="8">
        <f t="shared" ca="1" si="83"/>
        <v>15.570566647627826</v>
      </c>
    </row>
    <row r="434" spans="1:20" x14ac:dyDescent="0.25">
      <c r="A434" s="7">
        <f>A433+dt</f>
        <v>21.150000000000166</v>
      </c>
      <c r="B434" s="8">
        <f t="shared" ca="1" si="72"/>
        <v>-2.7298948828493659E-2</v>
      </c>
      <c r="C434" s="8">
        <f ca="1">lambda*(a-B433)*dt</f>
        <v>1.4652112559012526E-3</v>
      </c>
      <c r="D434" s="8">
        <f ca="1">sigma*SQRT(dt)*_xlfn.NORM.S.INV(RAND())</f>
        <v>-1.4112047525382388E-2</v>
      </c>
      <c r="E434" s="8">
        <f t="shared" ca="1" si="73"/>
        <v>-1.2646836269481135E-2</v>
      </c>
      <c r="G434" s="8">
        <f t="shared" ca="1" si="74"/>
        <v>6.1503996997056447</v>
      </c>
      <c r="H434" s="8">
        <f>mu*dt</f>
        <v>2.5000000000000005E-3</v>
      </c>
      <c r="I434" s="8">
        <f t="shared" ca="1" si="75"/>
        <v>-1.4112047525382388E-2</v>
      </c>
      <c r="J434" s="8">
        <f t="shared" ca="1" si="76"/>
        <v>-1.1612047525382387E-2</v>
      </c>
      <c r="L434" s="8">
        <f t="shared" ca="1" si="77"/>
        <v>15.389760487718439</v>
      </c>
      <c r="M434" s="8">
        <f ca="1">mu*L433*dt</f>
        <v>3.8926416619069572E-2</v>
      </c>
      <c r="N434" s="8">
        <f t="shared" ca="1" si="78"/>
        <v>-0.21973257652845782</v>
      </c>
      <c r="O434" s="8">
        <f t="shared" ca="1" si="79"/>
        <v>-0.18080615990938825</v>
      </c>
      <c r="Q434" s="7">
        <f t="shared" si="80"/>
        <v>21.150000000000166</v>
      </c>
      <c r="R434" s="8">
        <f t="shared" ca="1" si="81"/>
        <v>-2.7298948828493659E-2</v>
      </c>
      <c r="S434" s="8">
        <f t="shared" ca="1" si="82"/>
        <v>6.1503996997056447</v>
      </c>
      <c r="T434" s="8">
        <f t="shared" ca="1" si="83"/>
        <v>15.389760487718439</v>
      </c>
    </row>
    <row r="435" spans="1:20" x14ac:dyDescent="0.25">
      <c r="A435" s="7">
        <f>A434+dt</f>
        <v>21.200000000000166</v>
      </c>
      <c r="B435" s="8">
        <f t="shared" ca="1" si="72"/>
        <v>-1.5633325431099916E-3</v>
      </c>
      <c r="C435" s="8">
        <f ca="1">lambda*(a-B434)*dt</f>
        <v>2.7298948828493662E-3</v>
      </c>
      <c r="D435" s="8">
        <f ca="1">sigma*SQRT(dt)*_xlfn.NORM.S.INV(RAND())</f>
        <v>2.3005721402534301E-2</v>
      </c>
      <c r="E435" s="8">
        <f t="shared" ca="1" si="73"/>
        <v>2.5735616285383667E-2</v>
      </c>
      <c r="G435" s="8">
        <f t="shared" ca="1" si="74"/>
        <v>6.1759054211081787</v>
      </c>
      <c r="H435" s="8">
        <f>mu*dt</f>
        <v>2.5000000000000005E-3</v>
      </c>
      <c r="I435" s="8">
        <f t="shared" ca="1" si="75"/>
        <v>2.3005721402534301E-2</v>
      </c>
      <c r="J435" s="8">
        <f t="shared" ca="1" si="76"/>
        <v>2.55057214025343E-2</v>
      </c>
      <c r="L435" s="8">
        <f t="shared" ca="1" si="77"/>
        <v>15.782287431169916</v>
      </c>
      <c r="M435" s="8">
        <f ca="1">mu*L434*dt</f>
        <v>3.84744012192961E-2</v>
      </c>
      <c r="N435" s="8">
        <f t="shared" ca="1" si="78"/>
        <v>0.3540525422321808</v>
      </c>
      <c r="O435" s="8">
        <f t="shared" ca="1" si="79"/>
        <v>0.39252694345147687</v>
      </c>
      <c r="Q435" s="7">
        <f t="shared" si="80"/>
        <v>21.200000000000166</v>
      </c>
      <c r="R435" s="8">
        <f t="shared" ca="1" si="81"/>
        <v>-1.5633325431099916E-3</v>
      </c>
      <c r="S435" s="8">
        <f t="shared" ca="1" si="82"/>
        <v>6.1759054211081787</v>
      </c>
      <c r="T435" s="8">
        <f t="shared" ca="1" si="83"/>
        <v>15.782287431169916</v>
      </c>
    </row>
    <row r="436" spans="1:20" x14ac:dyDescent="0.25">
      <c r="A436" s="7">
        <f>A435+dt</f>
        <v>21.250000000000167</v>
      </c>
      <c r="B436" s="8">
        <f t="shared" ca="1" si="72"/>
        <v>3.0235188585945238E-4</v>
      </c>
      <c r="C436" s="8">
        <f ca="1">lambda*(a-B435)*dt</f>
        <v>1.5633325431099916E-4</v>
      </c>
      <c r="D436" s="8">
        <f ca="1">sigma*SQRT(dt)*_xlfn.NORM.S.INV(RAND())</f>
        <v>1.7093511746584448E-3</v>
      </c>
      <c r="E436" s="8">
        <f t="shared" ca="1" si="73"/>
        <v>1.865684428969444E-3</v>
      </c>
      <c r="G436" s="8">
        <f t="shared" ca="1" si="74"/>
        <v>6.1801147722828373</v>
      </c>
      <c r="H436" s="8">
        <f>mu*dt</f>
        <v>2.5000000000000005E-3</v>
      </c>
      <c r="I436" s="8">
        <f t="shared" ca="1" si="75"/>
        <v>1.7093511746584448E-3</v>
      </c>
      <c r="J436" s="8">
        <f t="shared" ca="1" si="76"/>
        <v>4.2093511746584458E-3</v>
      </c>
      <c r="L436" s="8">
        <f t="shared" ca="1" si="77"/>
        <v>15.848720621307109</v>
      </c>
      <c r="M436" s="8">
        <f ca="1">mu*L435*dt</f>
        <v>3.9455718577924792E-2</v>
      </c>
      <c r="N436" s="8">
        <f t="shared" ca="1" si="78"/>
        <v>2.6977471559267507E-2</v>
      </c>
      <c r="O436" s="8">
        <f t="shared" ca="1" si="79"/>
        <v>6.6433190137192302E-2</v>
      </c>
      <c r="Q436" s="7">
        <f t="shared" si="80"/>
        <v>21.250000000000167</v>
      </c>
      <c r="R436" s="8">
        <f t="shared" ca="1" si="81"/>
        <v>3.0235188585945238E-4</v>
      </c>
      <c r="S436" s="8">
        <f t="shared" ca="1" si="82"/>
        <v>6.1801147722828373</v>
      </c>
      <c r="T436" s="8">
        <f t="shared" ca="1" si="83"/>
        <v>15.848720621307109</v>
      </c>
    </row>
    <row r="437" spans="1:20" x14ac:dyDescent="0.25">
      <c r="A437" s="7">
        <f>A436+dt</f>
        <v>21.300000000000168</v>
      </c>
      <c r="B437" s="8">
        <f t="shared" ca="1" si="72"/>
        <v>-6.5816378484763009E-3</v>
      </c>
      <c r="C437" s="8">
        <f ca="1">lambda*(a-B436)*dt</f>
        <v>-3.0235188585945238E-5</v>
      </c>
      <c r="D437" s="8">
        <f ca="1">sigma*SQRT(dt)*_xlfn.NORM.S.INV(RAND())</f>
        <v>-6.8537545457498083E-3</v>
      </c>
      <c r="E437" s="8">
        <f t="shared" ca="1" si="73"/>
        <v>-6.8839897343357537E-3</v>
      </c>
      <c r="G437" s="8">
        <f t="shared" ca="1" si="74"/>
        <v>6.1757610177370879</v>
      </c>
      <c r="H437" s="8">
        <f>mu*dt</f>
        <v>2.5000000000000005E-3</v>
      </c>
      <c r="I437" s="8">
        <f t="shared" ca="1" si="75"/>
        <v>-6.8537545457498083E-3</v>
      </c>
      <c r="J437" s="8">
        <f t="shared" ca="1" si="76"/>
        <v>-4.3537545457498078E-3</v>
      </c>
      <c r="L437" s="8">
        <f t="shared" ca="1" si="77"/>
        <v>15.779719181857775</v>
      </c>
      <c r="M437" s="8">
        <f ca="1">mu*L436*dt</f>
        <v>3.9621801553267777E-2</v>
      </c>
      <c r="N437" s="8">
        <f t="shared" ca="1" si="78"/>
        <v>-0.10862324100260233</v>
      </c>
      <c r="O437" s="8">
        <f t="shared" ca="1" si="79"/>
        <v>-6.9001439449334553E-2</v>
      </c>
      <c r="Q437" s="7">
        <f t="shared" si="80"/>
        <v>21.300000000000168</v>
      </c>
      <c r="R437" s="8">
        <f t="shared" ca="1" si="81"/>
        <v>-6.5816378484763009E-3</v>
      </c>
      <c r="S437" s="8">
        <f t="shared" ca="1" si="82"/>
        <v>6.1757610177370879</v>
      </c>
      <c r="T437" s="8">
        <f t="shared" ca="1" si="83"/>
        <v>15.779719181857775</v>
      </c>
    </row>
    <row r="438" spans="1:20" x14ac:dyDescent="0.25">
      <c r="A438" s="7">
        <f>A437+dt</f>
        <v>21.350000000000168</v>
      </c>
      <c r="B438" s="8">
        <f t="shared" ca="1" si="72"/>
        <v>-5.9912863171648059E-3</v>
      </c>
      <c r="C438" s="8">
        <f ca="1">lambda*(a-B437)*dt</f>
        <v>6.5816378484763016E-4</v>
      </c>
      <c r="D438" s="8">
        <f ca="1">sigma*SQRT(dt)*_xlfn.NORM.S.INV(RAND())</f>
        <v>-6.7812253536134829E-5</v>
      </c>
      <c r="E438" s="8">
        <f t="shared" ca="1" si="73"/>
        <v>5.9035153131149537E-4</v>
      </c>
      <c r="G438" s="8">
        <f t="shared" ca="1" si="74"/>
        <v>6.1781932054835513</v>
      </c>
      <c r="H438" s="8">
        <f>mu*dt</f>
        <v>2.5000000000000005E-3</v>
      </c>
      <c r="I438" s="8">
        <f t="shared" ca="1" si="75"/>
        <v>-6.7812253536134829E-5</v>
      </c>
      <c r="J438" s="8">
        <f t="shared" ca="1" si="76"/>
        <v>2.4321877464638657E-3</v>
      </c>
      <c r="L438" s="8">
        <f t="shared" ca="1" si="77"/>
        <v>15.818098421494531</v>
      </c>
      <c r="M438" s="8">
        <f ca="1">mu*L437*dt</f>
        <v>3.9449297954644441E-2</v>
      </c>
      <c r="N438" s="8">
        <f t="shared" ca="1" si="78"/>
        <v>-1.0700583178891495E-3</v>
      </c>
      <c r="O438" s="8">
        <f t="shared" ca="1" si="79"/>
        <v>3.837923963675529E-2</v>
      </c>
      <c r="Q438" s="7">
        <f t="shared" si="80"/>
        <v>21.350000000000168</v>
      </c>
      <c r="R438" s="8">
        <f t="shared" ca="1" si="81"/>
        <v>-5.9912863171648059E-3</v>
      </c>
      <c r="S438" s="8">
        <f t="shared" ca="1" si="82"/>
        <v>6.1781932054835513</v>
      </c>
      <c r="T438" s="8">
        <f t="shared" ca="1" si="83"/>
        <v>15.818098421494531</v>
      </c>
    </row>
    <row r="439" spans="1:20" x14ac:dyDescent="0.25">
      <c r="A439" s="7">
        <f>A438+dt</f>
        <v>21.400000000000169</v>
      </c>
      <c r="B439" s="8">
        <f t="shared" ca="1" si="72"/>
        <v>-7.7190945681880844E-3</v>
      </c>
      <c r="C439" s="8">
        <f ca="1">lambda*(a-B438)*dt</f>
        <v>5.9912863171648065E-4</v>
      </c>
      <c r="D439" s="8">
        <f ca="1">sigma*SQRT(dt)*_xlfn.NORM.S.INV(RAND())</f>
        <v>-2.3269368827397597E-3</v>
      </c>
      <c r="E439" s="8">
        <f t="shared" ca="1" si="73"/>
        <v>-1.7278082510232789E-3</v>
      </c>
      <c r="G439" s="8">
        <f t="shared" ca="1" si="74"/>
        <v>6.1783662686008114</v>
      </c>
      <c r="H439" s="8">
        <f>mu*dt</f>
        <v>2.5000000000000005E-3</v>
      </c>
      <c r="I439" s="8">
        <f t="shared" ca="1" si="75"/>
        <v>-2.3269368827397597E-3</v>
      </c>
      <c r="J439" s="8">
        <f t="shared" ca="1" si="76"/>
        <v>1.7306311726024079E-4</v>
      </c>
      <c r="L439" s="8">
        <f t="shared" ca="1" si="77"/>
        <v>15.820835950916484</v>
      </c>
      <c r="M439" s="8">
        <f ca="1">mu*L438*dt</f>
        <v>3.9545246053736327E-2</v>
      </c>
      <c r="N439" s="8">
        <f t="shared" ca="1" si="78"/>
        <v>-3.6807716631783199E-2</v>
      </c>
      <c r="O439" s="8">
        <f t="shared" ca="1" si="79"/>
        <v>2.7375294219531277E-3</v>
      </c>
      <c r="Q439" s="7">
        <f t="shared" si="80"/>
        <v>21.400000000000169</v>
      </c>
      <c r="R439" s="8">
        <f t="shared" ca="1" si="81"/>
        <v>-7.7190945681880844E-3</v>
      </c>
      <c r="S439" s="8">
        <f t="shared" ca="1" si="82"/>
        <v>6.1783662686008114</v>
      </c>
      <c r="T439" s="8">
        <f t="shared" ca="1" si="83"/>
        <v>15.820835950916484</v>
      </c>
    </row>
    <row r="440" spans="1:20" x14ac:dyDescent="0.25">
      <c r="A440" s="7">
        <f>A439+dt</f>
        <v>21.45000000000017</v>
      </c>
      <c r="B440" s="8">
        <f t="shared" ca="1" si="72"/>
        <v>5.839521047039456E-4</v>
      </c>
      <c r="C440" s="8">
        <f ca="1">lambda*(a-B439)*dt</f>
        <v>7.7190945681880846E-4</v>
      </c>
      <c r="D440" s="8">
        <f ca="1">sigma*SQRT(dt)*_xlfn.NORM.S.INV(RAND())</f>
        <v>7.5311372160732212E-3</v>
      </c>
      <c r="E440" s="8">
        <f t="shared" ca="1" si="73"/>
        <v>8.30304667289203E-3</v>
      </c>
      <c r="G440" s="8">
        <f t="shared" ca="1" si="74"/>
        <v>6.1883974058168842</v>
      </c>
      <c r="H440" s="8">
        <f>mu*dt</f>
        <v>2.5000000000000005E-3</v>
      </c>
      <c r="I440" s="8">
        <f t="shared" ca="1" si="75"/>
        <v>7.5311372160732212E-3</v>
      </c>
      <c r="J440" s="8">
        <f t="shared" ca="1" si="76"/>
        <v>1.0031137216073221E-2</v>
      </c>
      <c r="L440" s="8">
        <f t="shared" ca="1" si="77"/>
        <v>15.979536927213111</v>
      </c>
      <c r="M440" s="8">
        <f ca="1">mu*L439*dt</f>
        <v>3.9552089877291217E-2</v>
      </c>
      <c r="N440" s="8">
        <f t="shared" ca="1" si="78"/>
        <v>0.1191488864193363</v>
      </c>
      <c r="O440" s="8">
        <f t="shared" ca="1" si="79"/>
        <v>0.15870097629662752</v>
      </c>
      <c r="Q440" s="7">
        <f t="shared" si="80"/>
        <v>21.45000000000017</v>
      </c>
      <c r="R440" s="8">
        <f t="shared" ca="1" si="81"/>
        <v>5.839521047039456E-4</v>
      </c>
      <c r="S440" s="8">
        <f t="shared" ca="1" si="82"/>
        <v>6.1883974058168842</v>
      </c>
      <c r="T440" s="8">
        <f t="shared" ca="1" si="83"/>
        <v>15.979536927213111</v>
      </c>
    </row>
    <row r="441" spans="1:20" x14ac:dyDescent="0.25">
      <c r="A441" s="7">
        <f>A440+dt</f>
        <v>21.500000000000171</v>
      </c>
      <c r="B441" s="8">
        <f t="shared" ca="1" si="72"/>
        <v>1.9073982345726075E-3</v>
      </c>
      <c r="C441" s="8">
        <f ca="1">lambda*(a-B440)*dt</f>
        <v>-5.8395210470394564E-5</v>
      </c>
      <c r="D441" s="8">
        <f ca="1">sigma*SQRT(dt)*_xlfn.NORM.S.INV(RAND())</f>
        <v>1.3818413403390564E-3</v>
      </c>
      <c r="E441" s="8">
        <f t="shared" ca="1" si="73"/>
        <v>1.3234461298686619E-3</v>
      </c>
      <c r="G441" s="8">
        <f t="shared" ca="1" si="74"/>
        <v>6.1922792471572237</v>
      </c>
      <c r="H441" s="8">
        <f>mu*dt</f>
        <v>2.5000000000000005E-3</v>
      </c>
      <c r="I441" s="8">
        <f t="shared" ca="1" si="75"/>
        <v>1.3818413403390564E-3</v>
      </c>
      <c r="J441" s="8">
        <f t="shared" ca="1" si="76"/>
        <v>3.8818413403390569E-3</v>
      </c>
      <c r="L441" s="8">
        <f t="shared" ca="1" si="77"/>
        <v>16.041566954256641</v>
      </c>
      <c r="M441" s="8">
        <f ca="1">mu*L440*dt</f>
        <v>3.9948842318032779E-2</v>
      </c>
      <c r="N441" s="8">
        <f t="shared" ca="1" si="78"/>
        <v>2.2081184725497614E-2</v>
      </c>
      <c r="O441" s="8">
        <f t="shared" ca="1" si="79"/>
        <v>6.2030027043530389E-2</v>
      </c>
      <c r="Q441" s="7">
        <f t="shared" si="80"/>
        <v>21.500000000000171</v>
      </c>
      <c r="R441" s="8">
        <f t="shared" ca="1" si="81"/>
        <v>1.9073982345726075E-3</v>
      </c>
      <c r="S441" s="8">
        <f t="shared" ca="1" si="82"/>
        <v>6.1922792471572237</v>
      </c>
      <c r="T441" s="8">
        <f t="shared" ca="1" si="83"/>
        <v>16.041566954256641</v>
      </c>
    </row>
    <row r="442" spans="1:20" x14ac:dyDescent="0.25">
      <c r="A442" s="7">
        <f>A441+dt</f>
        <v>21.550000000000171</v>
      </c>
      <c r="B442" s="8">
        <f t="shared" ca="1" si="72"/>
        <v>-9.7767497582689346E-4</v>
      </c>
      <c r="C442" s="8">
        <f ca="1">lambda*(a-B441)*dt</f>
        <v>-1.9073982345726076E-4</v>
      </c>
      <c r="D442" s="8">
        <f ca="1">sigma*SQRT(dt)*_xlfn.NORM.S.INV(RAND())</f>
        <v>-2.6943333869422401E-3</v>
      </c>
      <c r="E442" s="8">
        <f t="shared" ca="1" si="73"/>
        <v>-2.8850732103995009E-3</v>
      </c>
      <c r="G442" s="8">
        <f t="shared" ca="1" si="74"/>
        <v>6.1920849137702811</v>
      </c>
      <c r="H442" s="8">
        <f>mu*dt</f>
        <v>2.5000000000000005E-3</v>
      </c>
      <c r="I442" s="8">
        <f t="shared" ca="1" si="75"/>
        <v>-2.6943333869422401E-3</v>
      </c>
      <c r="J442" s="8">
        <f t="shared" ca="1" si="76"/>
        <v>-1.9433338694223963E-4</v>
      </c>
      <c r="L442" s="8">
        <f t="shared" ca="1" si="77"/>
        <v>16.038449542218562</v>
      </c>
      <c r="M442" s="8">
        <f ca="1">mu*L441*dt</f>
        <v>4.0103917385641612E-2</v>
      </c>
      <c r="N442" s="8">
        <f t="shared" ca="1" si="78"/>
        <v>-4.3221329423723011E-2</v>
      </c>
      <c r="O442" s="8">
        <f t="shared" ca="1" si="79"/>
        <v>-3.1174120380813991E-3</v>
      </c>
      <c r="Q442" s="7">
        <f t="shared" si="80"/>
        <v>21.550000000000171</v>
      </c>
      <c r="R442" s="8">
        <f t="shared" ca="1" si="81"/>
        <v>-9.7767497582689346E-4</v>
      </c>
      <c r="S442" s="8">
        <f t="shared" ca="1" si="82"/>
        <v>6.1920849137702811</v>
      </c>
      <c r="T442" s="8">
        <f t="shared" ca="1" si="83"/>
        <v>16.038449542218562</v>
      </c>
    </row>
    <row r="443" spans="1:20" x14ac:dyDescent="0.25">
      <c r="A443" s="7">
        <f>A442+dt</f>
        <v>21.600000000000172</v>
      </c>
      <c r="B443" s="8">
        <f t="shared" ca="1" si="72"/>
        <v>9.0005062987818085E-3</v>
      </c>
      <c r="C443" s="8">
        <f ca="1">lambda*(a-B442)*dt</f>
        <v>9.7767497582689354E-5</v>
      </c>
      <c r="D443" s="8">
        <f ca="1">sigma*SQRT(dt)*_xlfn.NORM.S.INV(RAND())</f>
        <v>9.8804137770260123E-3</v>
      </c>
      <c r="E443" s="8">
        <f t="shared" ca="1" si="73"/>
        <v>9.9781812746087013E-3</v>
      </c>
      <c r="G443" s="8">
        <f t="shared" ca="1" si="74"/>
        <v>6.2044653275473074</v>
      </c>
      <c r="H443" s="8">
        <f>mu*dt</f>
        <v>2.5000000000000005E-3</v>
      </c>
      <c r="I443" s="8">
        <f t="shared" ca="1" si="75"/>
        <v>9.8804137770260123E-3</v>
      </c>
      <c r="J443" s="8">
        <f t="shared" ca="1" si="76"/>
        <v>1.2380413777026013E-2</v>
      </c>
      <c r="L443" s="8">
        <f t="shared" ca="1" si="77"/>
        <v>16.237012183893182</v>
      </c>
      <c r="M443" s="8">
        <f ca="1">mu*L442*dt</f>
        <v>4.0096123855546409E-2</v>
      </c>
      <c r="N443" s="8">
        <f t="shared" ca="1" si="78"/>
        <v>0.15846651781907281</v>
      </c>
      <c r="O443" s="8">
        <f t="shared" ca="1" si="79"/>
        <v>0.19856264167461923</v>
      </c>
      <c r="Q443" s="7">
        <f t="shared" si="80"/>
        <v>21.600000000000172</v>
      </c>
      <c r="R443" s="8">
        <f t="shared" ca="1" si="81"/>
        <v>9.0005062987818085E-3</v>
      </c>
      <c r="S443" s="8">
        <f t="shared" ca="1" si="82"/>
        <v>6.2044653275473074</v>
      </c>
      <c r="T443" s="8">
        <f t="shared" ca="1" si="83"/>
        <v>16.237012183893182</v>
      </c>
    </row>
    <row r="444" spans="1:20" x14ac:dyDescent="0.25">
      <c r="A444" s="7">
        <f>A443+dt</f>
        <v>21.650000000000173</v>
      </c>
      <c r="B444" s="8">
        <f t="shared" ca="1" si="72"/>
        <v>2.059079921576662E-2</v>
      </c>
      <c r="C444" s="8">
        <f ca="1">lambda*(a-B443)*dt</f>
        <v>-9.0005062987818087E-4</v>
      </c>
      <c r="D444" s="8">
        <f ca="1">sigma*SQRT(dt)*_xlfn.NORM.S.INV(RAND())</f>
        <v>1.2490343546862993E-2</v>
      </c>
      <c r="E444" s="8">
        <f t="shared" ca="1" si="73"/>
        <v>1.1590292916984813E-2</v>
      </c>
      <c r="G444" s="8">
        <f t="shared" ca="1" si="74"/>
        <v>6.2194556710941704</v>
      </c>
      <c r="H444" s="8">
        <f>mu*dt</f>
        <v>2.5000000000000005E-3</v>
      </c>
      <c r="I444" s="8">
        <f t="shared" ca="1" si="75"/>
        <v>1.2490343546862993E-2</v>
      </c>
      <c r="J444" s="8">
        <f t="shared" ca="1" si="76"/>
        <v>1.4990343546862994E-2</v>
      </c>
      <c r="L444" s="8">
        <f t="shared" ca="1" si="77"/>
        <v>16.48041057470434</v>
      </c>
      <c r="M444" s="8">
        <f ca="1">mu*L443*dt</f>
        <v>4.0592530459732962E-2</v>
      </c>
      <c r="N444" s="8">
        <f t="shared" ca="1" si="78"/>
        <v>0.202805860351426</v>
      </c>
      <c r="O444" s="8">
        <f t="shared" ca="1" si="79"/>
        <v>0.24339839081115897</v>
      </c>
      <c r="Q444" s="7">
        <f t="shared" si="80"/>
        <v>21.650000000000173</v>
      </c>
      <c r="R444" s="8">
        <f t="shared" ca="1" si="81"/>
        <v>2.059079921576662E-2</v>
      </c>
      <c r="S444" s="8">
        <f t="shared" ca="1" si="82"/>
        <v>6.2194556710941704</v>
      </c>
      <c r="T444" s="8">
        <f t="shared" ca="1" si="83"/>
        <v>16.48041057470434</v>
      </c>
    </row>
    <row r="445" spans="1:20" x14ac:dyDescent="0.25">
      <c r="A445" s="7">
        <f>A444+dt</f>
        <v>21.700000000000173</v>
      </c>
      <c r="B445" s="8">
        <f t="shared" ca="1" si="72"/>
        <v>-2.5638820606341123E-3</v>
      </c>
      <c r="C445" s="8">
        <f ca="1">lambda*(a-B444)*dt</f>
        <v>-2.0590799215766619E-3</v>
      </c>
      <c r="D445" s="8">
        <f ca="1">sigma*SQRT(dt)*_xlfn.NORM.S.INV(RAND())</f>
        <v>-2.1095601354824071E-2</v>
      </c>
      <c r="E445" s="8">
        <f t="shared" ca="1" si="73"/>
        <v>-2.3154681276400732E-2</v>
      </c>
      <c r="G445" s="8">
        <f t="shared" ca="1" si="74"/>
        <v>6.2008600697393463</v>
      </c>
      <c r="H445" s="8">
        <f>mu*dt</f>
        <v>2.5000000000000005E-3</v>
      </c>
      <c r="I445" s="8">
        <f t="shared" ca="1" si="75"/>
        <v>-2.1095601354824071E-2</v>
      </c>
      <c r="J445" s="8">
        <f t="shared" ca="1" si="76"/>
        <v>-1.8595601354824069E-2</v>
      </c>
      <c r="L445" s="8">
        <f t="shared" ca="1" si="77"/>
        <v>16.17394742949331</v>
      </c>
      <c r="M445" s="8">
        <f ca="1">mu*L444*dt</f>
        <v>4.1201026436760851E-2</v>
      </c>
      <c r="N445" s="8">
        <f t="shared" ca="1" si="78"/>
        <v>-0.34766417164778984</v>
      </c>
      <c r="O445" s="8">
        <f t="shared" ca="1" si="79"/>
        <v>-0.30646314521102902</v>
      </c>
      <c r="Q445" s="7">
        <f t="shared" si="80"/>
        <v>21.700000000000173</v>
      </c>
      <c r="R445" s="8">
        <f t="shared" ca="1" si="81"/>
        <v>-2.5638820606341123E-3</v>
      </c>
      <c r="S445" s="8">
        <f t="shared" ca="1" si="82"/>
        <v>6.2008600697393463</v>
      </c>
      <c r="T445" s="8">
        <f t="shared" ca="1" si="83"/>
        <v>16.17394742949331</v>
      </c>
    </row>
    <row r="446" spans="1:20" x14ac:dyDescent="0.25">
      <c r="A446" s="7">
        <f>A445+dt</f>
        <v>21.750000000000174</v>
      </c>
      <c r="B446" s="8">
        <f t="shared" ca="1" si="72"/>
        <v>-4.8644875998996445E-3</v>
      </c>
      <c r="C446" s="8">
        <f ca="1">lambda*(a-B445)*dt</f>
        <v>2.5638820606341126E-4</v>
      </c>
      <c r="D446" s="8">
        <f ca="1">sigma*SQRT(dt)*_xlfn.NORM.S.INV(RAND())</f>
        <v>-2.5569937453289431E-3</v>
      </c>
      <c r="E446" s="8">
        <f t="shared" ca="1" si="73"/>
        <v>-2.3006055392655318E-3</v>
      </c>
      <c r="G446" s="8">
        <f t="shared" ca="1" si="74"/>
        <v>6.2008030759940178</v>
      </c>
      <c r="H446" s="8">
        <f>mu*dt</f>
        <v>2.5000000000000005E-3</v>
      </c>
      <c r="I446" s="8">
        <f t="shared" ca="1" si="75"/>
        <v>-2.5569937453289431E-3</v>
      </c>
      <c r="J446" s="8">
        <f t="shared" ca="1" si="76"/>
        <v>-5.6993745328942635E-5</v>
      </c>
      <c r="L446" s="8">
        <f t="shared" ca="1" si="77"/>
        <v>16.173025615652548</v>
      </c>
      <c r="M446" s="8">
        <f ca="1">mu*L445*dt</f>
        <v>4.0434868573733282E-2</v>
      </c>
      <c r="N446" s="8">
        <f t="shared" ca="1" si="78"/>
        <v>-4.1356682414493529E-2</v>
      </c>
      <c r="O446" s="8">
        <f t="shared" ca="1" si="79"/>
        <v>-9.2181384076024664E-4</v>
      </c>
      <c r="Q446" s="7">
        <f t="shared" si="80"/>
        <v>21.750000000000174</v>
      </c>
      <c r="R446" s="8">
        <f t="shared" ca="1" si="81"/>
        <v>-4.8644875998996445E-3</v>
      </c>
      <c r="S446" s="8">
        <f t="shared" ca="1" si="82"/>
        <v>6.2008030759940178</v>
      </c>
      <c r="T446" s="8">
        <f t="shared" ca="1" si="83"/>
        <v>16.173025615652548</v>
      </c>
    </row>
    <row r="447" spans="1:20" x14ac:dyDescent="0.25">
      <c r="A447" s="7">
        <f>A446+dt</f>
        <v>21.800000000000175</v>
      </c>
      <c r="B447" s="8">
        <f t="shared" ca="1" si="72"/>
        <v>-6.3324291513629531E-3</v>
      </c>
      <c r="C447" s="8">
        <f ca="1">lambda*(a-B446)*dt</f>
        <v>4.8644875998996446E-4</v>
      </c>
      <c r="D447" s="8">
        <f ca="1">sigma*SQRT(dt)*_xlfn.NORM.S.INV(RAND())</f>
        <v>-1.9543903114532732E-3</v>
      </c>
      <c r="E447" s="8">
        <f t="shared" ca="1" si="73"/>
        <v>-1.4679415514633088E-3</v>
      </c>
      <c r="G447" s="8">
        <f t="shared" ca="1" si="74"/>
        <v>6.2013486856825644</v>
      </c>
      <c r="H447" s="8">
        <f>mu*dt</f>
        <v>2.5000000000000005E-3</v>
      </c>
      <c r="I447" s="8">
        <f t="shared" ca="1" si="75"/>
        <v>-1.9543903114532732E-3</v>
      </c>
      <c r="J447" s="8">
        <f t="shared" ca="1" si="76"/>
        <v>5.456096885467273E-4</v>
      </c>
      <c r="L447" s="8">
        <f t="shared" ca="1" si="77"/>
        <v>16.181849775121563</v>
      </c>
      <c r="M447" s="8">
        <f ca="1">mu*L446*dt</f>
        <v>4.0432564039131376E-2</v>
      </c>
      <c r="N447" s="8">
        <f t="shared" ca="1" si="78"/>
        <v>-3.1608404570116946E-2</v>
      </c>
      <c r="O447" s="8">
        <f t="shared" ca="1" si="79"/>
        <v>8.8241594690144295E-3</v>
      </c>
      <c r="Q447" s="7">
        <f t="shared" si="80"/>
        <v>21.800000000000175</v>
      </c>
      <c r="R447" s="8">
        <f t="shared" ca="1" si="81"/>
        <v>-6.3324291513629531E-3</v>
      </c>
      <c r="S447" s="8">
        <f t="shared" ca="1" si="82"/>
        <v>6.2013486856825644</v>
      </c>
      <c r="T447" s="8">
        <f t="shared" ca="1" si="83"/>
        <v>16.181849775121563</v>
      </c>
    </row>
    <row r="448" spans="1:20" x14ac:dyDescent="0.25">
      <c r="A448" s="7">
        <f>A447+dt</f>
        <v>21.850000000000176</v>
      </c>
      <c r="B448" s="8">
        <f t="shared" ca="1" si="72"/>
        <v>8.2967756672543309E-3</v>
      </c>
      <c r="C448" s="8">
        <f ca="1">lambda*(a-B447)*dt</f>
        <v>6.3324291513629531E-4</v>
      </c>
      <c r="D448" s="8">
        <f ca="1">sigma*SQRT(dt)*_xlfn.NORM.S.INV(RAND())</f>
        <v>1.3995961903480987E-2</v>
      </c>
      <c r="E448" s="8">
        <f t="shared" ca="1" si="73"/>
        <v>1.4629204818617283E-2</v>
      </c>
      <c r="G448" s="8">
        <f t="shared" ca="1" si="74"/>
        <v>6.2178446475860456</v>
      </c>
      <c r="H448" s="8">
        <f>mu*dt</f>
        <v>2.5000000000000005E-3</v>
      </c>
      <c r="I448" s="8">
        <f t="shared" ca="1" si="75"/>
        <v>1.3995961903480987E-2</v>
      </c>
      <c r="J448" s="8">
        <f t="shared" ca="1" si="76"/>
        <v>1.6495961903480988E-2</v>
      </c>
      <c r="L448" s="8">
        <f t="shared" ca="1" si="77"/>
        <v>16.448784952539821</v>
      </c>
      <c r="M448" s="8">
        <f ca="1">mu*L447*dt</f>
        <v>4.0454624437803913E-2</v>
      </c>
      <c r="N448" s="8">
        <f t="shared" ca="1" si="78"/>
        <v>0.22648055298045378</v>
      </c>
      <c r="O448" s="8">
        <f t="shared" ca="1" si="79"/>
        <v>0.26693517741825767</v>
      </c>
      <c r="Q448" s="7">
        <f t="shared" si="80"/>
        <v>21.850000000000176</v>
      </c>
      <c r="R448" s="8">
        <f t="shared" ca="1" si="81"/>
        <v>8.2967756672543309E-3</v>
      </c>
      <c r="S448" s="8">
        <f t="shared" ca="1" si="82"/>
        <v>6.2178446475860456</v>
      </c>
      <c r="T448" s="8">
        <f t="shared" ca="1" si="83"/>
        <v>16.448784952539821</v>
      </c>
    </row>
    <row r="449" spans="1:20" x14ac:dyDescent="0.25">
      <c r="A449" s="7">
        <f>A448+dt</f>
        <v>21.900000000000176</v>
      </c>
      <c r="B449" s="8">
        <f t="shared" ca="1" si="72"/>
        <v>5.7315376867642098E-3</v>
      </c>
      <c r="C449" s="8">
        <f ca="1">lambda*(a-B448)*dt</f>
        <v>-8.2967756672543309E-4</v>
      </c>
      <c r="D449" s="8">
        <f ca="1">sigma*SQRT(dt)*_xlfn.NORM.S.INV(RAND())</f>
        <v>-1.735560413764688E-3</v>
      </c>
      <c r="E449" s="8">
        <f t="shared" ca="1" si="73"/>
        <v>-2.5652379804901211E-3</v>
      </c>
      <c r="G449" s="8">
        <f t="shared" ca="1" si="74"/>
        <v>6.2186090871722808</v>
      </c>
      <c r="H449" s="8">
        <f>mu*dt</f>
        <v>2.5000000000000005E-3</v>
      </c>
      <c r="I449" s="8">
        <f t="shared" ca="1" si="75"/>
        <v>-1.735560413764688E-3</v>
      </c>
      <c r="J449" s="8">
        <f t="shared" ca="1" si="76"/>
        <v>7.6443958623531247E-4</v>
      </c>
      <c r="L449" s="8">
        <f t="shared" ca="1" si="77"/>
        <v>16.461359054903014</v>
      </c>
      <c r="M449" s="8">
        <f ca="1">mu*L448*dt</f>
        <v>4.1121962381349554E-2</v>
      </c>
      <c r="N449" s="8">
        <f t="shared" ca="1" si="78"/>
        <v>-2.8547860018156387E-2</v>
      </c>
      <c r="O449" s="8">
        <f t="shared" ca="1" si="79"/>
        <v>1.2574102363193167E-2</v>
      </c>
      <c r="Q449" s="7">
        <f t="shared" si="80"/>
        <v>21.900000000000176</v>
      </c>
      <c r="R449" s="8">
        <f t="shared" ca="1" si="81"/>
        <v>5.7315376867642098E-3</v>
      </c>
      <c r="S449" s="8">
        <f t="shared" ca="1" si="82"/>
        <v>6.2186090871722808</v>
      </c>
      <c r="T449" s="8">
        <f t="shared" ca="1" si="83"/>
        <v>16.461359054903014</v>
      </c>
    </row>
    <row r="450" spans="1:20" x14ac:dyDescent="0.25">
      <c r="A450" s="7">
        <f>A449+dt</f>
        <v>21.950000000000177</v>
      </c>
      <c r="B450" s="8">
        <f t="shared" ca="1" si="72"/>
        <v>-3.0806740592803378E-4</v>
      </c>
      <c r="C450" s="8">
        <f ca="1">lambda*(a-B449)*dt</f>
        <v>-5.7315376867642098E-4</v>
      </c>
      <c r="D450" s="8">
        <f ca="1">sigma*SQRT(dt)*_xlfn.NORM.S.INV(RAND())</f>
        <v>-5.4664513240158226E-3</v>
      </c>
      <c r="E450" s="8">
        <f t="shared" ca="1" si="73"/>
        <v>-6.0396050926922436E-3</v>
      </c>
      <c r="G450" s="8">
        <f t="shared" ca="1" si="74"/>
        <v>6.2156426358482646</v>
      </c>
      <c r="H450" s="8">
        <f>mu*dt</f>
        <v>2.5000000000000005E-3</v>
      </c>
      <c r="I450" s="8">
        <f t="shared" ca="1" si="75"/>
        <v>-5.4664513240158226E-3</v>
      </c>
      <c r="J450" s="8">
        <f t="shared" ca="1" si="76"/>
        <v>-2.9664513240158221E-3</v>
      </c>
      <c r="L450" s="8">
        <f t="shared" ca="1" si="77"/>
        <v>16.412527234539496</v>
      </c>
      <c r="M450" s="8">
        <f ca="1">mu*L449*dt</f>
        <v>4.115339763725754E-2</v>
      </c>
      <c r="N450" s="8">
        <f t="shared" ca="1" si="78"/>
        <v>-8.9985218000774428E-2</v>
      </c>
      <c r="O450" s="8">
        <f t="shared" ca="1" si="79"/>
        <v>-4.8831820363516888E-2</v>
      </c>
      <c r="Q450" s="7">
        <f t="shared" si="80"/>
        <v>21.950000000000177</v>
      </c>
      <c r="R450" s="8">
        <f t="shared" ca="1" si="81"/>
        <v>-3.0806740592803378E-4</v>
      </c>
      <c r="S450" s="8">
        <f t="shared" ca="1" si="82"/>
        <v>6.2156426358482646</v>
      </c>
      <c r="T450" s="8">
        <f t="shared" ca="1" si="83"/>
        <v>16.412527234539496</v>
      </c>
    </row>
    <row r="451" spans="1:20" x14ac:dyDescent="0.25">
      <c r="A451" s="7">
        <f>A450+dt</f>
        <v>22.000000000000178</v>
      </c>
      <c r="B451" s="8">
        <f t="shared" ca="1" si="72"/>
        <v>8.7794221624119678E-3</v>
      </c>
      <c r="C451" s="8">
        <f ca="1">lambda*(a-B450)*dt</f>
        <v>3.0806740592803381E-5</v>
      </c>
      <c r="D451" s="8">
        <f ca="1">sigma*SQRT(dt)*_xlfn.NORM.S.INV(RAND())</f>
        <v>9.0566828277471988E-3</v>
      </c>
      <c r="E451" s="8">
        <f t="shared" ca="1" si="73"/>
        <v>9.0874895683400025E-3</v>
      </c>
      <c r="G451" s="8">
        <f t="shared" ca="1" si="74"/>
        <v>6.2271993186760115</v>
      </c>
      <c r="H451" s="8">
        <f>mu*dt</f>
        <v>2.5000000000000005E-3</v>
      </c>
      <c r="I451" s="8">
        <f t="shared" ca="1" si="75"/>
        <v>9.0566828277471988E-3</v>
      </c>
      <c r="J451" s="8">
        <f t="shared" ca="1" si="76"/>
        <v>1.1556682827747199E-2</v>
      </c>
      <c r="L451" s="8">
        <f t="shared" ca="1" si="77"/>
        <v>16.602201606190832</v>
      </c>
      <c r="M451" s="8">
        <f ca="1">mu*L450*dt</f>
        <v>4.1031318086348745E-2</v>
      </c>
      <c r="N451" s="8">
        <f t="shared" ca="1" si="78"/>
        <v>0.14864305356498708</v>
      </c>
      <c r="O451" s="8">
        <f t="shared" ca="1" si="79"/>
        <v>0.18967437165133583</v>
      </c>
      <c r="Q451" s="7">
        <f t="shared" si="80"/>
        <v>22.000000000000178</v>
      </c>
      <c r="R451" s="8">
        <f t="shared" ca="1" si="81"/>
        <v>8.7794221624119678E-3</v>
      </c>
      <c r="S451" s="8">
        <f t="shared" ca="1" si="82"/>
        <v>6.2271993186760115</v>
      </c>
      <c r="T451" s="8">
        <f t="shared" ca="1" si="83"/>
        <v>16.602201606190832</v>
      </c>
    </row>
    <row r="452" spans="1:20" x14ac:dyDescent="0.25">
      <c r="A452" s="7">
        <f>A451+dt</f>
        <v>22.050000000000178</v>
      </c>
      <c r="B452" s="8">
        <f t="shared" ca="1" si="72"/>
        <v>3.2903540480847763E-3</v>
      </c>
      <c r="C452" s="8">
        <f ca="1">lambda*(a-B451)*dt</f>
        <v>-8.7794221624119687E-4</v>
      </c>
      <c r="D452" s="8">
        <f ca="1">sigma*SQRT(dt)*_xlfn.NORM.S.INV(RAND())</f>
        <v>-4.6111258980859942E-3</v>
      </c>
      <c r="E452" s="8">
        <f t="shared" ca="1" si="73"/>
        <v>-5.4890681143271915E-3</v>
      </c>
      <c r="G452" s="8">
        <f t="shared" ca="1" si="74"/>
        <v>6.2250881927779256</v>
      </c>
      <c r="H452" s="8">
        <f>mu*dt</f>
        <v>2.5000000000000005E-3</v>
      </c>
      <c r="I452" s="8">
        <f t="shared" ca="1" si="75"/>
        <v>-4.6111258980859942E-3</v>
      </c>
      <c r="J452" s="8">
        <f t="shared" ca="1" si="76"/>
        <v>-2.1111258980859937E-3</v>
      </c>
      <c r="L452" s="8">
        <f t="shared" ca="1" si="77"/>
        <v>16.567152268414759</v>
      </c>
      <c r="M452" s="8">
        <f ca="1">mu*L451*dt</f>
        <v>4.1505504015477084E-2</v>
      </c>
      <c r="N452" s="8">
        <f t="shared" ca="1" si="78"/>
        <v>-7.6554841791551434E-2</v>
      </c>
      <c r="O452" s="8">
        <f t="shared" ca="1" si="79"/>
        <v>-3.504933777607435E-2</v>
      </c>
      <c r="Q452" s="7">
        <f t="shared" si="80"/>
        <v>22.050000000000178</v>
      </c>
      <c r="R452" s="8">
        <f t="shared" ca="1" si="81"/>
        <v>3.2903540480847763E-3</v>
      </c>
      <c r="S452" s="8">
        <f t="shared" ca="1" si="82"/>
        <v>6.2250881927779256</v>
      </c>
      <c r="T452" s="8">
        <f t="shared" ca="1" si="83"/>
        <v>16.567152268414759</v>
      </c>
    </row>
    <row r="453" spans="1:20" x14ac:dyDescent="0.25">
      <c r="A453" s="7">
        <f>A452+dt</f>
        <v>22.100000000000179</v>
      </c>
      <c r="B453" s="8">
        <f t="shared" ca="1" si="72"/>
        <v>-1.0746723901329958E-3</v>
      </c>
      <c r="C453" s="8">
        <f ca="1">lambda*(a-B452)*dt</f>
        <v>-3.2903540480847763E-4</v>
      </c>
      <c r="D453" s="8">
        <f ca="1">sigma*SQRT(dt)*_xlfn.NORM.S.INV(RAND())</f>
        <v>-4.0359910334092945E-3</v>
      </c>
      <c r="E453" s="8">
        <f t="shared" ca="1" si="73"/>
        <v>-4.3650264382177721E-3</v>
      </c>
      <c r="G453" s="8">
        <f t="shared" ca="1" si="74"/>
        <v>6.223552201744516</v>
      </c>
      <c r="H453" s="8">
        <f>mu*dt</f>
        <v>2.5000000000000005E-3</v>
      </c>
      <c r="I453" s="8">
        <f t="shared" ca="1" si="75"/>
        <v>-4.0359910334092945E-3</v>
      </c>
      <c r="J453" s="8">
        <f t="shared" ca="1" si="76"/>
        <v>-1.535991033409294E-3</v>
      </c>
      <c r="L453" s="8">
        <f t="shared" ca="1" si="77"/>
        <v>16.541705271081348</v>
      </c>
      <c r="M453" s="8">
        <f ca="1">mu*L452*dt</f>
        <v>4.1417880671036904E-2</v>
      </c>
      <c r="N453" s="8">
        <f t="shared" ca="1" si="78"/>
        <v>-6.6864878004448416E-2</v>
      </c>
      <c r="O453" s="8">
        <f t="shared" ca="1" si="79"/>
        <v>-2.5446997333411513E-2</v>
      </c>
      <c r="Q453" s="7">
        <f t="shared" si="80"/>
        <v>22.100000000000179</v>
      </c>
      <c r="R453" s="8">
        <f t="shared" ca="1" si="81"/>
        <v>-1.0746723901329958E-3</v>
      </c>
      <c r="S453" s="8">
        <f t="shared" ca="1" si="82"/>
        <v>6.223552201744516</v>
      </c>
      <c r="T453" s="8">
        <f t="shared" ca="1" si="83"/>
        <v>16.541705271081348</v>
      </c>
    </row>
    <row r="454" spans="1:20" x14ac:dyDescent="0.25">
      <c r="A454" s="7">
        <f>A453+dt</f>
        <v>22.15000000000018</v>
      </c>
      <c r="B454" s="8">
        <f t="shared" ca="1" si="72"/>
        <v>7.4893344788488306E-3</v>
      </c>
      <c r="C454" s="8">
        <f ca="1">lambda*(a-B453)*dt</f>
        <v>1.0746723901329958E-4</v>
      </c>
      <c r="D454" s="8">
        <f ca="1">sigma*SQRT(dt)*_xlfn.NORM.S.INV(RAND())</f>
        <v>8.4565396299685278E-3</v>
      </c>
      <c r="E454" s="8">
        <f t="shared" ca="1" si="73"/>
        <v>8.5640068689818265E-3</v>
      </c>
      <c r="G454" s="8">
        <f t="shared" ca="1" si="74"/>
        <v>6.2345087413744844</v>
      </c>
      <c r="H454" s="8">
        <f>mu*dt</f>
        <v>2.5000000000000005E-3</v>
      </c>
      <c r="I454" s="8">
        <f t="shared" ca="1" si="75"/>
        <v>8.4565396299685278E-3</v>
      </c>
      <c r="J454" s="8">
        <f t="shared" ca="1" si="76"/>
        <v>1.0956539629968528E-2</v>
      </c>
      <c r="L454" s="8">
        <f t="shared" ca="1" si="77"/>
        <v>16.722945120431209</v>
      </c>
      <c r="M454" s="8">
        <f ca="1">mu*L453*dt</f>
        <v>4.1354263177703375E-2</v>
      </c>
      <c r="N454" s="8">
        <f t="shared" ca="1" si="78"/>
        <v>0.13988558617215871</v>
      </c>
      <c r="O454" s="8">
        <f t="shared" ca="1" si="79"/>
        <v>0.18123984934986209</v>
      </c>
      <c r="Q454" s="7">
        <f t="shared" si="80"/>
        <v>22.15000000000018</v>
      </c>
      <c r="R454" s="8">
        <f t="shared" ca="1" si="81"/>
        <v>7.4893344788488306E-3</v>
      </c>
      <c r="S454" s="8">
        <f t="shared" ca="1" si="82"/>
        <v>6.2345087413744844</v>
      </c>
      <c r="T454" s="8">
        <f t="shared" ca="1" si="83"/>
        <v>16.722945120431209</v>
      </c>
    </row>
    <row r="455" spans="1:20" x14ac:dyDescent="0.25">
      <c r="A455" s="7">
        <f>A454+dt</f>
        <v>22.20000000000018</v>
      </c>
      <c r="B455" s="8">
        <f t="shared" ca="1" si="72"/>
        <v>-1.0822747518369953E-2</v>
      </c>
      <c r="C455" s="8">
        <f ca="1">lambda*(a-B454)*dt</f>
        <v>-7.4893344788488306E-4</v>
      </c>
      <c r="D455" s="8">
        <f ca="1">sigma*SQRT(dt)*_xlfn.NORM.S.INV(RAND())</f>
        <v>-1.7563148549333902E-2</v>
      </c>
      <c r="E455" s="8">
        <f t="shared" ca="1" si="73"/>
        <v>-1.8312081997218784E-2</v>
      </c>
      <c r="G455" s="8">
        <f t="shared" ca="1" si="74"/>
        <v>6.2194455928251502</v>
      </c>
      <c r="H455" s="8">
        <f>mu*dt</f>
        <v>2.5000000000000005E-3</v>
      </c>
      <c r="I455" s="8">
        <f t="shared" ca="1" si="75"/>
        <v>-1.7563148549333902E-2</v>
      </c>
      <c r="J455" s="8">
        <f t="shared" ca="1" si="76"/>
        <v>-1.5063148549333901E-2</v>
      </c>
      <c r="L455" s="8">
        <f t="shared" ca="1" si="77"/>
        <v>16.471044913899796</v>
      </c>
      <c r="M455" s="8">
        <f ca="1">mu*L454*dt</f>
        <v>4.1807362801078024E-2</v>
      </c>
      <c r="N455" s="8">
        <f t="shared" ca="1" si="78"/>
        <v>-0.29370756933249187</v>
      </c>
      <c r="O455" s="8">
        <f t="shared" ca="1" si="79"/>
        <v>-0.25190020653141387</v>
      </c>
      <c r="Q455" s="7">
        <f t="shared" si="80"/>
        <v>22.20000000000018</v>
      </c>
      <c r="R455" s="8">
        <f t="shared" ca="1" si="81"/>
        <v>-1.0822747518369953E-2</v>
      </c>
      <c r="S455" s="8">
        <f t="shared" ca="1" si="82"/>
        <v>6.2194455928251502</v>
      </c>
      <c r="T455" s="8">
        <f t="shared" ca="1" si="83"/>
        <v>16.471044913899796</v>
      </c>
    </row>
    <row r="456" spans="1:20" x14ac:dyDescent="0.25">
      <c r="A456" s="7">
        <f>A455+dt</f>
        <v>22.250000000000181</v>
      </c>
      <c r="B456" s="8">
        <f t="shared" ca="1" si="72"/>
        <v>-3.1895602621185085E-3</v>
      </c>
      <c r="C456" s="8">
        <f ca="1">lambda*(a-B455)*dt</f>
        <v>1.0822747518369955E-3</v>
      </c>
      <c r="D456" s="8">
        <f ca="1">sigma*SQRT(dt)*_xlfn.NORM.S.INV(RAND())</f>
        <v>6.5509125044144493E-3</v>
      </c>
      <c r="E456" s="8">
        <f t="shared" ca="1" si="73"/>
        <v>7.633187256251445E-3</v>
      </c>
      <c r="G456" s="8">
        <f t="shared" ca="1" si="74"/>
        <v>6.2284965053295647</v>
      </c>
      <c r="H456" s="8">
        <f>mu*dt</f>
        <v>2.5000000000000005E-3</v>
      </c>
      <c r="I456" s="8">
        <f t="shared" ca="1" si="75"/>
        <v>6.5509125044144493E-3</v>
      </c>
      <c r="J456" s="8">
        <f t="shared" ca="1" si="76"/>
        <v>9.0509125044144489E-3</v>
      </c>
      <c r="L456" s="8">
        <f t="shared" ca="1" si="77"/>
        <v>16.620122900271785</v>
      </c>
      <c r="M456" s="8">
        <f ca="1">mu*L455*dt</f>
        <v>4.1177612284749497E-2</v>
      </c>
      <c r="N456" s="8">
        <f t="shared" ca="1" si="78"/>
        <v>0.1079003740872382</v>
      </c>
      <c r="O456" s="8">
        <f t="shared" ca="1" si="79"/>
        <v>0.14907798637198769</v>
      </c>
      <c r="Q456" s="7">
        <f t="shared" si="80"/>
        <v>22.250000000000181</v>
      </c>
      <c r="R456" s="8">
        <f t="shared" ca="1" si="81"/>
        <v>-3.1895602621185085E-3</v>
      </c>
      <c r="S456" s="8">
        <f t="shared" ca="1" si="82"/>
        <v>6.2284965053295647</v>
      </c>
      <c r="T456" s="8">
        <f t="shared" ca="1" si="83"/>
        <v>16.620122900271785</v>
      </c>
    </row>
    <row r="457" spans="1:20" x14ac:dyDescent="0.25">
      <c r="A457" s="7">
        <f>A456+dt</f>
        <v>22.300000000000182</v>
      </c>
      <c r="B457" s="8">
        <f t="shared" ca="1" si="72"/>
        <v>6.5253194789234251E-3</v>
      </c>
      <c r="C457" s="8">
        <f ca="1">lambda*(a-B456)*dt</f>
        <v>3.1895602621185085E-4</v>
      </c>
      <c r="D457" s="8">
        <f ca="1">sigma*SQRT(dt)*_xlfn.NORM.S.INV(RAND())</f>
        <v>9.3959237148300827E-3</v>
      </c>
      <c r="E457" s="8">
        <f t="shared" ca="1" si="73"/>
        <v>9.7148797410419336E-3</v>
      </c>
      <c r="G457" s="8">
        <f t="shared" ca="1" si="74"/>
        <v>6.2403924290443946</v>
      </c>
      <c r="H457" s="8">
        <f>mu*dt</f>
        <v>2.5000000000000005E-3</v>
      </c>
      <c r="I457" s="8">
        <f t="shared" ca="1" si="75"/>
        <v>9.3959237148300827E-3</v>
      </c>
      <c r="J457" s="8">
        <f t="shared" ca="1" si="76"/>
        <v>1.1895923714830083E-2</v>
      </c>
      <c r="L457" s="8">
        <f t="shared" ca="1" si="77"/>
        <v>16.81783461442452</v>
      </c>
      <c r="M457" s="8">
        <f ca="1">mu*L456*dt</f>
        <v>4.1550307250679465E-2</v>
      </c>
      <c r="N457" s="8">
        <f t="shared" ca="1" si="78"/>
        <v>0.15616140690205418</v>
      </c>
      <c r="O457" s="8">
        <f t="shared" ca="1" si="79"/>
        <v>0.19771171415273364</v>
      </c>
      <c r="Q457" s="7">
        <f t="shared" si="80"/>
        <v>22.300000000000182</v>
      </c>
      <c r="R457" s="8">
        <f t="shared" ca="1" si="81"/>
        <v>6.5253194789234251E-3</v>
      </c>
      <c r="S457" s="8">
        <f t="shared" ca="1" si="82"/>
        <v>6.2403924290443946</v>
      </c>
      <c r="T457" s="8">
        <f t="shared" ca="1" si="83"/>
        <v>16.81783461442452</v>
      </c>
    </row>
    <row r="458" spans="1:20" x14ac:dyDescent="0.25">
      <c r="A458" s="7">
        <f>A457+dt</f>
        <v>22.350000000000183</v>
      </c>
      <c r="B458" s="8">
        <f t="shared" ca="1" si="72"/>
        <v>1.5963113973912035E-2</v>
      </c>
      <c r="C458" s="8">
        <f ca="1">lambda*(a-B457)*dt</f>
        <v>-6.5253194789234256E-4</v>
      </c>
      <c r="D458" s="8">
        <f ca="1">sigma*SQRT(dt)*_xlfn.NORM.S.INV(RAND())</f>
        <v>1.0090326442880954E-2</v>
      </c>
      <c r="E458" s="8">
        <f t="shared" ca="1" si="73"/>
        <v>9.4377944949886119E-3</v>
      </c>
      <c r="G458" s="8">
        <f t="shared" ca="1" si="74"/>
        <v>6.2529827554872757</v>
      </c>
      <c r="H458" s="8">
        <f>mu*dt</f>
        <v>2.5000000000000005E-3</v>
      </c>
      <c r="I458" s="8">
        <f t="shared" ca="1" si="75"/>
        <v>1.0090326442880954E-2</v>
      </c>
      <c r="J458" s="8">
        <f t="shared" ca="1" si="76"/>
        <v>1.2590326442880955E-2</v>
      </c>
      <c r="L458" s="8">
        <f t="shared" ca="1" si="77"/>
        <v>17.029576642282507</v>
      </c>
      <c r="M458" s="8">
        <f ca="1">mu*L457*dt</f>
        <v>4.2044586536061301E-2</v>
      </c>
      <c r="N458" s="8">
        <f t="shared" ca="1" si="78"/>
        <v>0.16969744132192635</v>
      </c>
      <c r="O458" s="8">
        <f t="shared" ca="1" si="79"/>
        <v>0.21174202785798765</v>
      </c>
      <c r="Q458" s="7">
        <f t="shared" si="80"/>
        <v>22.350000000000183</v>
      </c>
      <c r="R458" s="8">
        <f t="shared" ca="1" si="81"/>
        <v>1.5963113973912035E-2</v>
      </c>
      <c r="S458" s="8">
        <f t="shared" ca="1" si="82"/>
        <v>6.2529827554872757</v>
      </c>
      <c r="T458" s="8">
        <f t="shared" ca="1" si="83"/>
        <v>17.029576642282507</v>
      </c>
    </row>
    <row r="459" spans="1:20" x14ac:dyDescent="0.25">
      <c r="A459" s="7">
        <f>A458+dt</f>
        <v>22.400000000000183</v>
      </c>
      <c r="B459" s="8">
        <f t="shared" ca="1" si="72"/>
        <v>9.9101867546191429E-3</v>
      </c>
      <c r="C459" s="8">
        <f ca="1">lambda*(a-B458)*dt</f>
        <v>-1.5963113973912037E-3</v>
      </c>
      <c r="D459" s="8">
        <f ca="1">sigma*SQRT(dt)*_xlfn.NORM.S.INV(RAND())</f>
        <v>-4.4566158219016888E-3</v>
      </c>
      <c r="E459" s="8">
        <f t="shared" ca="1" si="73"/>
        <v>-6.0529272192928925E-3</v>
      </c>
      <c r="G459" s="8">
        <f t="shared" ca="1" si="74"/>
        <v>6.2510261396653739</v>
      </c>
      <c r="H459" s="8">
        <f>mu*dt</f>
        <v>2.5000000000000005E-3</v>
      </c>
      <c r="I459" s="8">
        <f t="shared" ca="1" si="75"/>
        <v>-4.4566158219016888E-3</v>
      </c>
      <c r="J459" s="8">
        <f t="shared" ca="1" si="76"/>
        <v>-1.9566158219016883E-3</v>
      </c>
      <c r="L459" s="8">
        <f t="shared" ca="1" si="77"/>
        <v>16.99625630318393</v>
      </c>
      <c r="M459" s="8">
        <f ca="1">mu*L458*dt</f>
        <v>4.2573941605706267E-2</v>
      </c>
      <c r="N459" s="8">
        <f t="shared" ca="1" si="78"/>
        <v>-7.5894280704283654E-2</v>
      </c>
      <c r="O459" s="8">
        <f t="shared" ca="1" si="79"/>
        <v>-3.3320339098577387E-2</v>
      </c>
      <c r="Q459" s="7">
        <f t="shared" si="80"/>
        <v>22.400000000000183</v>
      </c>
      <c r="R459" s="8">
        <f t="shared" ca="1" si="81"/>
        <v>9.9101867546191429E-3</v>
      </c>
      <c r="S459" s="8">
        <f t="shared" ca="1" si="82"/>
        <v>6.2510261396653739</v>
      </c>
      <c r="T459" s="8">
        <f t="shared" ca="1" si="83"/>
        <v>16.99625630318393</v>
      </c>
    </row>
    <row r="460" spans="1:20" x14ac:dyDescent="0.25">
      <c r="A460" s="7">
        <f>A459+dt</f>
        <v>22.450000000000184</v>
      </c>
      <c r="B460" s="8">
        <f t="shared" ca="1" si="72"/>
        <v>-8.5244125228246537E-3</v>
      </c>
      <c r="C460" s="8">
        <f ca="1">lambda*(a-B459)*dt</f>
        <v>-9.9101867546191424E-4</v>
      </c>
      <c r="D460" s="8">
        <f ca="1">sigma*SQRT(dt)*_xlfn.NORM.S.INV(RAND())</f>
        <v>-1.7443580601981881E-2</v>
      </c>
      <c r="E460" s="8">
        <f t="shared" ca="1" si="73"/>
        <v>-1.8434599277443797E-2</v>
      </c>
      <c r="G460" s="8">
        <f t="shared" ca="1" si="74"/>
        <v>6.2360825590633917</v>
      </c>
      <c r="H460" s="8">
        <f>mu*dt</f>
        <v>2.5000000000000005E-3</v>
      </c>
      <c r="I460" s="8">
        <f t="shared" ca="1" si="75"/>
        <v>-1.7443580601981881E-2</v>
      </c>
      <c r="J460" s="8">
        <f t="shared" ca="1" si="76"/>
        <v>-1.4943580601981881E-2</v>
      </c>
      <c r="L460" s="8">
        <f t="shared" ca="1" si="77"/>
        <v>16.742271377185357</v>
      </c>
      <c r="M460" s="8">
        <f ca="1">mu*L459*dt</f>
        <v>4.249064075795983E-2</v>
      </c>
      <c r="N460" s="8">
        <f t="shared" ca="1" si="78"/>
        <v>-0.29647556675653147</v>
      </c>
      <c r="O460" s="8">
        <f t="shared" ca="1" si="79"/>
        <v>-0.25398492599857164</v>
      </c>
      <c r="Q460" s="7">
        <f t="shared" si="80"/>
        <v>22.450000000000184</v>
      </c>
      <c r="R460" s="8">
        <f t="shared" ca="1" si="81"/>
        <v>-8.5244125228246537E-3</v>
      </c>
      <c r="S460" s="8">
        <f t="shared" ca="1" si="82"/>
        <v>6.2360825590633917</v>
      </c>
      <c r="T460" s="8">
        <f t="shared" ca="1" si="83"/>
        <v>16.742271377185357</v>
      </c>
    </row>
    <row r="461" spans="1:20" x14ac:dyDescent="0.25">
      <c r="A461" s="7">
        <f>A460+dt</f>
        <v>22.500000000000185</v>
      </c>
      <c r="B461" s="8">
        <f t="shared" ref="B461:B512" ca="1" si="84">B460+E461</f>
        <v>-6.1224333662850822E-3</v>
      </c>
      <c r="C461" s="8">
        <f ca="1">lambda*(a-B460)*dt</f>
        <v>8.5244125228246543E-4</v>
      </c>
      <c r="D461" s="8">
        <f ca="1">sigma*SQRT(dt)*_xlfn.NORM.S.INV(RAND())</f>
        <v>1.5495379042571055E-3</v>
      </c>
      <c r="E461" s="8">
        <f t="shared" ref="E461:E512" ca="1" si="85">C461+D461</f>
        <v>2.4019791565395711E-3</v>
      </c>
      <c r="G461" s="8">
        <f t="shared" ref="G461:G512" ca="1" si="86">G460+J461</f>
        <v>6.240132096967649</v>
      </c>
      <c r="H461" s="8">
        <f>mu*dt</f>
        <v>2.5000000000000005E-3</v>
      </c>
      <c r="I461" s="8">
        <f t="shared" ref="I461:I512" ca="1" si="87">D461</f>
        <v>1.5495379042571055E-3</v>
      </c>
      <c r="J461" s="8">
        <f t="shared" ref="J461:J512" ca="1" si="88">H461+I461</f>
        <v>4.0495379042571056E-3</v>
      </c>
      <c r="L461" s="8">
        <f t="shared" ref="L461:L512" ca="1" si="89">L460+O461</f>
        <v>16.810069839730627</v>
      </c>
      <c r="M461" s="8">
        <f ca="1">mu*L460*dt</f>
        <v>4.1855678442963395E-2</v>
      </c>
      <c r="N461" s="8">
        <f t="shared" ref="N461:N512" ca="1" si="90">L460*D461</f>
        <v>2.5942784102307524E-2</v>
      </c>
      <c r="O461" s="8">
        <f t="shared" ref="O461:O512" ca="1" si="91">M461+N461</f>
        <v>6.7798462545270916E-2</v>
      </c>
      <c r="Q461" s="7">
        <f t="shared" ref="Q461:Q512" si="92">A461</f>
        <v>22.500000000000185</v>
      </c>
      <c r="R461" s="8">
        <f t="shared" ref="R461:R512" ca="1" si="93">B461</f>
        <v>-6.1224333662850822E-3</v>
      </c>
      <c r="S461" s="8">
        <f t="shared" ref="S461:S512" ca="1" si="94">G461</f>
        <v>6.240132096967649</v>
      </c>
      <c r="T461" s="8">
        <f t="shared" ref="T461:T512" ca="1" si="95">L461</f>
        <v>16.810069839730627</v>
      </c>
    </row>
    <row r="462" spans="1:20" x14ac:dyDescent="0.25">
      <c r="A462" s="7">
        <f>A461+dt</f>
        <v>22.550000000000185</v>
      </c>
      <c r="B462" s="8">
        <f t="shared" ca="1" si="84"/>
        <v>2.6268189660689865E-3</v>
      </c>
      <c r="C462" s="8">
        <f ca="1">lambda*(a-B461)*dt</f>
        <v>6.1224333662850822E-4</v>
      </c>
      <c r="D462" s="8">
        <f ca="1">sigma*SQRT(dt)*_xlfn.NORM.S.INV(RAND())</f>
        <v>8.1370089957255604E-3</v>
      </c>
      <c r="E462" s="8">
        <f t="shared" ca="1" si="85"/>
        <v>8.7492523323540686E-3</v>
      </c>
      <c r="G462" s="8">
        <f t="shared" ca="1" si="86"/>
        <v>6.250769105963375</v>
      </c>
      <c r="H462" s="8">
        <f>mu*dt</f>
        <v>2.5000000000000005E-3</v>
      </c>
      <c r="I462" s="8">
        <f t="shared" ca="1" si="87"/>
        <v>8.1370089957255604E-3</v>
      </c>
      <c r="J462" s="8">
        <f t="shared" ca="1" si="88"/>
        <v>1.0637008995725561E-2</v>
      </c>
      <c r="L462" s="8">
        <f t="shared" ca="1" si="89"/>
        <v>16.988878703834615</v>
      </c>
      <c r="M462" s="8">
        <f ca="1">mu*L461*dt</f>
        <v>4.2025174599326573E-2</v>
      </c>
      <c r="N462" s="8">
        <f t="shared" ca="1" si="90"/>
        <v>0.13678368950466305</v>
      </c>
      <c r="O462" s="8">
        <f t="shared" ca="1" si="91"/>
        <v>0.17880886410398961</v>
      </c>
      <c r="Q462" s="7">
        <f t="shared" si="92"/>
        <v>22.550000000000185</v>
      </c>
      <c r="R462" s="8">
        <f t="shared" ca="1" si="93"/>
        <v>2.6268189660689865E-3</v>
      </c>
      <c r="S462" s="8">
        <f t="shared" ca="1" si="94"/>
        <v>6.250769105963375</v>
      </c>
      <c r="T462" s="8">
        <f t="shared" ca="1" si="95"/>
        <v>16.988878703834615</v>
      </c>
    </row>
    <row r="463" spans="1:20" x14ac:dyDescent="0.25">
      <c r="A463" s="7">
        <f>A462+dt</f>
        <v>22.600000000000186</v>
      </c>
      <c r="B463" s="8">
        <f t="shared" ca="1" si="84"/>
        <v>1.7734277827040203E-2</v>
      </c>
      <c r="C463" s="8">
        <f ca="1">lambda*(a-B462)*dt</f>
        <v>-2.6268189660689866E-4</v>
      </c>
      <c r="D463" s="8">
        <f ca="1">sigma*SQRT(dt)*_xlfn.NORM.S.INV(RAND())</f>
        <v>1.5370140757578116E-2</v>
      </c>
      <c r="E463" s="8">
        <f t="shared" ca="1" si="85"/>
        <v>1.5107458860971217E-2</v>
      </c>
      <c r="G463" s="8">
        <f t="shared" ca="1" si="86"/>
        <v>6.2686392467209533</v>
      </c>
      <c r="H463" s="8">
        <f>mu*dt</f>
        <v>2.5000000000000005E-3</v>
      </c>
      <c r="I463" s="8">
        <f t="shared" ca="1" si="87"/>
        <v>1.5370140757578116E-2</v>
      </c>
      <c r="J463" s="8">
        <f t="shared" ca="1" si="88"/>
        <v>1.7870140757578118E-2</v>
      </c>
      <c r="L463" s="8">
        <f t="shared" ca="1" si="89"/>
        <v>17.292472357585559</v>
      </c>
      <c r="M463" s="8">
        <f ca="1">mu*L462*dt</f>
        <v>4.2472196759586543E-2</v>
      </c>
      <c r="N463" s="8">
        <f t="shared" ca="1" si="90"/>
        <v>0.2611214569913593</v>
      </c>
      <c r="O463" s="8">
        <f t="shared" ca="1" si="91"/>
        <v>0.30359365375094582</v>
      </c>
      <c r="Q463" s="7">
        <f t="shared" si="92"/>
        <v>22.600000000000186</v>
      </c>
      <c r="R463" s="8">
        <f t="shared" ca="1" si="93"/>
        <v>1.7734277827040203E-2</v>
      </c>
      <c r="S463" s="8">
        <f t="shared" ca="1" si="94"/>
        <v>6.2686392467209533</v>
      </c>
      <c r="T463" s="8">
        <f t="shared" ca="1" si="95"/>
        <v>17.292472357585559</v>
      </c>
    </row>
    <row r="464" spans="1:20" x14ac:dyDescent="0.25">
      <c r="A464" s="7">
        <f>A463+dt</f>
        <v>22.650000000000187</v>
      </c>
      <c r="B464" s="8">
        <f t="shared" ca="1" si="84"/>
        <v>5.1200022917850425E-3</v>
      </c>
      <c r="C464" s="8">
        <f ca="1">lambda*(a-B463)*dt</f>
        <v>-1.7734277827040205E-3</v>
      </c>
      <c r="D464" s="8">
        <f ca="1">sigma*SQRT(dt)*_xlfn.NORM.S.INV(RAND())</f>
        <v>-1.084084775255114E-2</v>
      </c>
      <c r="E464" s="8">
        <f t="shared" ca="1" si="85"/>
        <v>-1.2614275535255161E-2</v>
      </c>
      <c r="G464" s="8">
        <f t="shared" ca="1" si="86"/>
        <v>6.260298398968402</v>
      </c>
      <c r="H464" s="8">
        <f>mu*dt</f>
        <v>2.5000000000000005E-3</v>
      </c>
      <c r="I464" s="8">
        <f t="shared" ca="1" si="87"/>
        <v>-1.084084775255114E-2</v>
      </c>
      <c r="J464" s="8">
        <f t="shared" ca="1" si="88"/>
        <v>-8.3408477525511397E-3</v>
      </c>
      <c r="L464" s="8">
        <f t="shared" ca="1" si="89"/>
        <v>17.148238478385739</v>
      </c>
      <c r="M464" s="8">
        <f ca="1">mu*L463*dt</f>
        <v>4.3231180893963904E-2</v>
      </c>
      <c r="N464" s="8">
        <f t="shared" ca="1" si="90"/>
        <v>-0.18746506009378414</v>
      </c>
      <c r="O464" s="8">
        <f t="shared" ca="1" si="91"/>
        <v>-0.14423387919982023</v>
      </c>
      <c r="Q464" s="7">
        <f t="shared" si="92"/>
        <v>22.650000000000187</v>
      </c>
      <c r="R464" s="8">
        <f t="shared" ca="1" si="93"/>
        <v>5.1200022917850425E-3</v>
      </c>
      <c r="S464" s="8">
        <f t="shared" ca="1" si="94"/>
        <v>6.260298398968402</v>
      </c>
      <c r="T464" s="8">
        <f t="shared" ca="1" si="95"/>
        <v>17.148238478385739</v>
      </c>
    </row>
    <row r="465" spans="1:20" x14ac:dyDescent="0.25">
      <c r="A465" s="7">
        <f>A464+dt</f>
        <v>22.700000000000188</v>
      </c>
      <c r="B465" s="8">
        <f t="shared" ca="1" si="84"/>
        <v>8.4474190407325279E-3</v>
      </c>
      <c r="C465" s="8">
        <f ca="1">lambda*(a-B464)*dt</f>
        <v>-5.1200022917850428E-4</v>
      </c>
      <c r="D465" s="8">
        <f ca="1">sigma*SQRT(dt)*_xlfn.NORM.S.INV(RAND())</f>
        <v>3.8394169781259891E-3</v>
      </c>
      <c r="E465" s="8">
        <f t="shared" ca="1" si="85"/>
        <v>3.3274167489474849E-3</v>
      </c>
      <c r="G465" s="8">
        <f t="shared" ca="1" si="86"/>
        <v>6.2666378159465284</v>
      </c>
      <c r="H465" s="8">
        <f>mu*dt</f>
        <v>2.5000000000000005E-3</v>
      </c>
      <c r="I465" s="8">
        <f t="shared" ca="1" si="87"/>
        <v>3.8394169781259891E-3</v>
      </c>
      <c r="J465" s="8">
        <f t="shared" ca="1" si="88"/>
        <v>6.3394169781259896E-3</v>
      </c>
      <c r="L465" s="8">
        <f t="shared" ca="1" si="89"/>
        <v>17.256948312540572</v>
      </c>
      <c r="M465" s="8">
        <f ca="1">mu*L464*dt</f>
        <v>4.2870596195964353E-2</v>
      </c>
      <c r="N465" s="8">
        <f t="shared" ca="1" si="90"/>
        <v>6.5839237958867577E-2</v>
      </c>
      <c r="O465" s="8">
        <f t="shared" ca="1" si="91"/>
        <v>0.10870983415483193</v>
      </c>
      <c r="Q465" s="7">
        <f t="shared" si="92"/>
        <v>22.700000000000188</v>
      </c>
      <c r="R465" s="8">
        <f t="shared" ca="1" si="93"/>
        <v>8.4474190407325279E-3</v>
      </c>
      <c r="S465" s="8">
        <f t="shared" ca="1" si="94"/>
        <v>6.2666378159465284</v>
      </c>
      <c r="T465" s="8">
        <f t="shared" ca="1" si="95"/>
        <v>17.256948312540572</v>
      </c>
    </row>
    <row r="466" spans="1:20" x14ac:dyDescent="0.25">
      <c r="A466" s="7">
        <f>A465+dt</f>
        <v>22.750000000000188</v>
      </c>
      <c r="B466" s="8">
        <f t="shared" ca="1" si="84"/>
        <v>-9.4398077446554516E-3</v>
      </c>
      <c r="C466" s="8">
        <f ca="1">lambda*(a-B465)*dt</f>
        <v>-8.4474190407325287E-4</v>
      </c>
      <c r="D466" s="8">
        <f ca="1">sigma*SQRT(dt)*_xlfn.NORM.S.INV(RAND())</f>
        <v>-1.7042484881314726E-2</v>
      </c>
      <c r="E466" s="8">
        <f t="shared" ca="1" si="85"/>
        <v>-1.7887226785387979E-2</v>
      </c>
      <c r="G466" s="8">
        <f t="shared" ca="1" si="86"/>
        <v>6.2520953310652132</v>
      </c>
      <c r="H466" s="8">
        <f>mu*dt</f>
        <v>2.5000000000000005E-3</v>
      </c>
      <c r="I466" s="8">
        <f t="shared" ca="1" si="87"/>
        <v>-1.7042484881314726E-2</v>
      </c>
      <c r="J466" s="8">
        <f t="shared" ca="1" si="88"/>
        <v>-1.4542484881314726E-2</v>
      </c>
      <c r="L466" s="8">
        <f t="shared" ca="1" si="89"/>
        <v>17.00598940260782</v>
      </c>
      <c r="M466" s="8">
        <f ca="1">mu*L465*dt</f>
        <v>4.3142370781351441E-2</v>
      </c>
      <c r="N466" s="8">
        <f t="shared" ca="1" si="90"/>
        <v>-0.29410128071410241</v>
      </c>
      <c r="O466" s="8">
        <f t="shared" ca="1" si="91"/>
        <v>-0.25095890993275094</v>
      </c>
      <c r="Q466" s="7">
        <f t="shared" si="92"/>
        <v>22.750000000000188</v>
      </c>
      <c r="R466" s="8">
        <f t="shared" ca="1" si="93"/>
        <v>-9.4398077446554516E-3</v>
      </c>
      <c r="S466" s="8">
        <f t="shared" ca="1" si="94"/>
        <v>6.2520953310652132</v>
      </c>
      <c r="T466" s="8">
        <f t="shared" ca="1" si="95"/>
        <v>17.00598940260782</v>
      </c>
    </row>
    <row r="467" spans="1:20" x14ac:dyDescent="0.25">
      <c r="A467" s="7">
        <f>A466+dt</f>
        <v>22.800000000000189</v>
      </c>
      <c r="B467" s="8">
        <f t="shared" ca="1" si="84"/>
        <v>-1.9888046918586678E-2</v>
      </c>
      <c r="C467" s="8">
        <f ca="1">lambda*(a-B466)*dt</f>
        <v>9.4398077446554516E-4</v>
      </c>
      <c r="D467" s="8">
        <f ca="1">sigma*SQRT(dt)*_xlfn.NORM.S.INV(RAND())</f>
        <v>-1.1392219948396773E-2</v>
      </c>
      <c r="E467" s="8">
        <f t="shared" ca="1" si="85"/>
        <v>-1.0448239173931229E-2</v>
      </c>
      <c r="G467" s="8">
        <f t="shared" ca="1" si="86"/>
        <v>6.2432031111168165</v>
      </c>
      <c r="H467" s="8">
        <f>mu*dt</f>
        <v>2.5000000000000005E-3</v>
      </c>
      <c r="I467" s="8">
        <f t="shared" ca="1" si="87"/>
        <v>-1.1392219948396773E-2</v>
      </c>
      <c r="J467" s="8">
        <f t="shared" ca="1" si="88"/>
        <v>-8.8922199483967724E-3</v>
      </c>
      <c r="L467" s="8">
        <f t="shared" ca="1" si="89"/>
        <v>16.854768404399728</v>
      </c>
      <c r="M467" s="8">
        <f ca="1">mu*L466*dt</f>
        <v>4.251497350651956E-2</v>
      </c>
      <c r="N467" s="8">
        <f t="shared" ca="1" si="90"/>
        <v>-0.19373597171461293</v>
      </c>
      <c r="O467" s="8">
        <f t="shared" ca="1" si="91"/>
        <v>-0.15122099820809337</v>
      </c>
      <c r="Q467" s="7">
        <f t="shared" si="92"/>
        <v>22.800000000000189</v>
      </c>
      <c r="R467" s="8">
        <f t="shared" ca="1" si="93"/>
        <v>-1.9888046918586678E-2</v>
      </c>
      <c r="S467" s="8">
        <f t="shared" ca="1" si="94"/>
        <v>6.2432031111168165</v>
      </c>
      <c r="T467" s="8">
        <f t="shared" ca="1" si="95"/>
        <v>16.854768404399728</v>
      </c>
    </row>
    <row r="468" spans="1:20" x14ac:dyDescent="0.25">
      <c r="A468" s="7">
        <f>A467+dt</f>
        <v>22.85000000000019</v>
      </c>
      <c r="B468" s="8">
        <f t="shared" ca="1" si="84"/>
        <v>-1.0053523200057082E-2</v>
      </c>
      <c r="C468" s="8">
        <f ca="1">lambda*(a-B467)*dt</f>
        <v>1.9888046918586678E-3</v>
      </c>
      <c r="D468" s="8">
        <f ca="1">sigma*SQRT(dt)*_xlfn.NORM.S.INV(RAND())</f>
        <v>7.8457190266709286E-3</v>
      </c>
      <c r="E468" s="8">
        <f t="shared" ca="1" si="85"/>
        <v>9.8345237185295965E-3</v>
      </c>
      <c r="G468" s="8">
        <f t="shared" ca="1" si="86"/>
        <v>6.2535488301434876</v>
      </c>
      <c r="H468" s="8">
        <f>mu*dt</f>
        <v>2.5000000000000005E-3</v>
      </c>
      <c r="I468" s="8">
        <f t="shared" ca="1" si="87"/>
        <v>7.8457190266709286E-3</v>
      </c>
      <c r="J468" s="8">
        <f t="shared" ca="1" si="88"/>
        <v>1.0345719026670929E-2</v>
      </c>
      <c r="L468" s="8">
        <f t="shared" ca="1" si="89"/>
        <v>17.029143102571258</v>
      </c>
      <c r="M468" s="8">
        <f ca="1">mu*L467*dt</f>
        <v>4.2136921010999327E-2</v>
      </c>
      <c r="N468" s="8">
        <f t="shared" ca="1" si="90"/>
        <v>0.13223777716053095</v>
      </c>
      <c r="O468" s="8">
        <f t="shared" ca="1" si="91"/>
        <v>0.17437469817153028</v>
      </c>
      <c r="Q468" s="7">
        <f t="shared" si="92"/>
        <v>22.85000000000019</v>
      </c>
      <c r="R468" s="8">
        <f t="shared" ca="1" si="93"/>
        <v>-1.0053523200057082E-2</v>
      </c>
      <c r="S468" s="8">
        <f t="shared" ca="1" si="94"/>
        <v>6.2535488301434876</v>
      </c>
      <c r="T468" s="8">
        <f t="shared" ca="1" si="95"/>
        <v>17.029143102571258</v>
      </c>
    </row>
    <row r="469" spans="1:20" x14ac:dyDescent="0.25">
      <c r="A469" s="7">
        <f>A468+dt</f>
        <v>22.90000000000019</v>
      </c>
      <c r="B469" s="8">
        <f t="shared" ca="1" si="84"/>
        <v>1.4551322489528477E-2</v>
      </c>
      <c r="C469" s="8">
        <f ca="1">lambda*(a-B468)*dt</f>
        <v>1.0053523200057083E-3</v>
      </c>
      <c r="D469" s="8">
        <f ca="1">sigma*SQRT(dt)*_xlfn.NORM.S.INV(RAND())</f>
        <v>2.3599493369579852E-2</v>
      </c>
      <c r="E469" s="8">
        <f t="shared" ca="1" si="85"/>
        <v>2.4604845689585559E-2</v>
      </c>
      <c r="G469" s="8">
        <f t="shared" ca="1" si="86"/>
        <v>6.2796483235130678</v>
      </c>
      <c r="H469" s="8">
        <f>mu*dt</f>
        <v>2.5000000000000005E-3</v>
      </c>
      <c r="I469" s="8">
        <f t="shared" ca="1" si="87"/>
        <v>2.3599493369579852E-2</v>
      </c>
      <c r="J469" s="8">
        <f t="shared" ca="1" si="88"/>
        <v>2.6099493369579854E-2</v>
      </c>
      <c r="L469" s="8">
        <f t="shared" ca="1" si="89"/>
        <v>17.473595110066444</v>
      </c>
      <c r="M469" s="8">
        <f ca="1">mu*L468*dt</f>
        <v>4.2572857756428148E-2</v>
      </c>
      <c r="N469" s="8">
        <f t="shared" ca="1" si="90"/>
        <v>0.40187914973875688</v>
      </c>
      <c r="O469" s="8">
        <f t="shared" ca="1" si="91"/>
        <v>0.44445200749518504</v>
      </c>
      <c r="Q469" s="7">
        <f t="shared" si="92"/>
        <v>22.90000000000019</v>
      </c>
      <c r="R469" s="8">
        <f t="shared" ca="1" si="93"/>
        <v>1.4551322489528477E-2</v>
      </c>
      <c r="S469" s="8">
        <f t="shared" ca="1" si="94"/>
        <v>6.2796483235130678</v>
      </c>
      <c r="T469" s="8">
        <f t="shared" ca="1" si="95"/>
        <v>17.473595110066444</v>
      </c>
    </row>
    <row r="470" spans="1:20" x14ac:dyDescent="0.25">
      <c r="A470" s="7">
        <f>A469+dt</f>
        <v>22.950000000000191</v>
      </c>
      <c r="B470" s="8">
        <f t="shared" ca="1" si="84"/>
        <v>-6.2290168608923491E-3</v>
      </c>
      <c r="C470" s="8">
        <f ca="1">lambda*(a-B469)*dt</f>
        <v>-1.4551322489528477E-3</v>
      </c>
      <c r="D470" s="8">
        <f ca="1">sigma*SQRT(dt)*_xlfn.NORM.S.INV(RAND())</f>
        <v>-1.9325207101467977E-2</v>
      </c>
      <c r="E470" s="8">
        <f t="shared" ca="1" si="85"/>
        <v>-2.0780339350420826E-2</v>
      </c>
      <c r="G470" s="8">
        <f t="shared" ca="1" si="86"/>
        <v>6.2628231164115995</v>
      </c>
      <c r="H470" s="8">
        <f>mu*dt</f>
        <v>2.5000000000000005E-3</v>
      </c>
      <c r="I470" s="8">
        <f t="shared" ca="1" si="87"/>
        <v>-1.9325207101467977E-2</v>
      </c>
      <c r="J470" s="8">
        <f t="shared" ca="1" si="88"/>
        <v>-1.6825207101467975E-2</v>
      </c>
      <c r="L470" s="8">
        <f t="shared" ca="1" si="89"/>
        <v>17.179598253532379</v>
      </c>
      <c r="M470" s="8">
        <f ca="1">mu*L469*dt</f>
        <v>4.3683987775166112E-2</v>
      </c>
      <c r="N470" s="8">
        <f t="shared" ca="1" si="90"/>
        <v>-0.33768084430923218</v>
      </c>
      <c r="O470" s="8">
        <f t="shared" ca="1" si="91"/>
        <v>-0.29399685653406604</v>
      </c>
      <c r="Q470" s="7">
        <f t="shared" si="92"/>
        <v>22.950000000000191</v>
      </c>
      <c r="R470" s="8">
        <f t="shared" ca="1" si="93"/>
        <v>-6.2290168608923491E-3</v>
      </c>
      <c r="S470" s="8">
        <f t="shared" ca="1" si="94"/>
        <v>6.2628231164115995</v>
      </c>
      <c r="T470" s="8">
        <f t="shared" ca="1" si="95"/>
        <v>17.179598253532379</v>
      </c>
    </row>
    <row r="471" spans="1:20" x14ac:dyDescent="0.25">
      <c r="A471" s="7">
        <f>A470+dt</f>
        <v>23.000000000000192</v>
      </c>
      <c r="B471" s="8">
        <f t="shared" ca="1" si="84"/>
        <v>-5.9228772784043638E-3</v>
      </c>
      <c r="C471" s="8">
        <f ca="1">lambda*(a-B470)*dt</f>
        <v>6.2290168608923494E-4</v>
      </c>
      <c r="D471" s="8">
        <f ca="1">sigma*SQRT(dt)*_xlfn.NORM.S.INV(RAND())</f>
        <v>-3.1676210360124954E-4</v>
      </c>
      <c r="E471" s="8">
        <f t="shared" ca="1" si="85"/>
        <v>3.0613958248798539E-4</v>
      </c>
      <c r="G471" s="8">
        <f t="shared" ca="1" si="86"/>
        <v>6.2650063543079986</v>
      </c>
      <c r="H471" s="8">
        <f>mu*dt</f>
        <v>2.5000000000000005E-3</v>
      </c>
      <c r="I471" s="8">
        <f t="shared" ca="1" si="87"/>
        <v>-3.1676210360124954E-4</v>
      </c>
      <c r="J471" s="8">
        <f t="shared" ca="1" si="88"/>
        <v>2.183237896398751E-3</v>
      </c>
      <c r="L471" s="8">
        <f t="shared" ca="1" si="89"/>
        <v>17.217105403484396</v>
      </c>
      <c r="M471" s="8">
        <f ca="1">mu*L470*dt</f>
        <v>4.294899563383095E-2</v>
      </c>
      <c r="N471" s="8">
        <f t="shared" ca="1" si="90"/>
        <v>-5.4418456818132689E-3</v>
      </c>
      <c r="O471" s="8">
        <f t="shared" ca="1" si="91"/>
        <v>3.7507149952017683E-2</v>
      </c>
      <c r="Q471" s="7">
        <f t="shared" si="92"/>
        <v>23.000000000000192</v>
      </c>
      <c r="R471" s="8">
        <f t="shared" ca="1" si="93"/>
        <v>-5.9228772784043638E-3</v>
      </c>
      <c r="S471" s="8">
        <f t="shared" ca="1" si="94"/>
        <v>6.2650063543079986</v>
      </c>
      <c r="T471" s="8">
        <f t="shared" ca="1" si="95"/>
        <v>17.217105403484396</v>
      </c>
    </row>
    <row r="472" spans="1:20" x14ac:dyDescent="0.25">
      <c r="A472" s="7">
        <f>A471+dt</f>
        <v>23.050000000000193</v>
      </c>
      <c r="B472" s="8">
        <f t="shared" ca="1" si="84"/>
        <v>1.2669413157300026E-3</v>
      </c>
      <c r="C472" s="8">
        <f ca="1">lambda*(a-B471)*dt</f>
        <v>5.922877278404364E-4</v>
      </c>
      <c r="D472" s="8">
        <f ca="1">sigma*SQRT(dt)*_xlfn.NORM.S.INV(RAND())</f>
        <v>6.5975308662939297E-3</v>
      </c>
      <c r="E472" s="8">
        <f t="shared" ca="1" si="85"/>
        <v>7.1898185941343664E-3</v>
      </c>
      <c r="G472" s="8">
        <f t="shared" ca="1" si="86"/>
        <v>6.2741038851742923</v>
      </c>
      <c r="H472" s="8">
        <f>mu*dt</f>
        <v>2.5000000000000005E-3</v>
      </c>
      <c r="I472" s="8">
        <f t="shared" ca="1" si="87"/>
        <v>6.5975308662939297E-3</v>
      </c>
      <c r="J472" s="8">
        <f t="shared" ca="1" si="88"/>
        <v>9.0975308662939302E-3</v>
      </c>
      <c r="L472" s="8">
        <f t="shared" ca="1" si="89"/>
        <v>17.37373855132083</v>
      </c>
      <c r="M472" s="8">
        <f ca="1">mu*L471*dt</f>
        <v>4.3042763508710995E-2</v>
      </c>
      <c r="N472" s="8">
        <f t="shared" ca="1" si="90"/>
        <v>0.11359038432772431</v>
      </c>
      <c r="O472" s="8">
        <f t="shared" ca="1" si="91"/>
        <v>0.15663314783643531</v>
      </c>
      <c r="Q472" s="7">
        <f t="shared" si="92"/>
        <v>23.050000000000193</v>
      </c>
      <c r="R472" s="8">
        <f t="shared" ca="1" si="93"/>
        <v>1.2669413157300026E-3</v>
      </c>
      <c r="S472" s="8">
        <f t="shared" ca="1" si="94"/>
        <v>6.2741038851742923</v>
      </c>
      <c r="T472" s="8">
        <f t="shared" ca="1" si="95"/>
        <v>17.37373855132083</v>
      </c>
    </row>
    <row r="473" spans="1:20" x14ac:dyDescent="0.25">
      <c r="A473" s="7">
        <f>A472+dt</f>
        <v>23.100000000000193</v>
      </c>
      <c r="B473" s="8">
        <f t="shared" ca="1" si="84"/>
        <v>-5.1063719343137672E-3</v>
      </c>
      <c r="C473" s="8">
        <f ca="1">lambda*(a-B472)*dt</f>
        <v>-1.2669413157300027E-4</v>
      </c>
      <c r="D473" s="8">
        <f ca="1">sigma*SQRT(dt)*_xlfn.NORM.S.INV(RAND())</f>
        <v>-6.2466191184707698E-3</v>
      </c>
      <c r="E473" s="8">
        <f t="shared" ca="1" si="85"/>
        <v>-6.3733132500437698E-3</v>
      </c>
      <c r="G473" s="8">
        <f t="shared" ca="1" si="86"/>
        <v>6.2703572660558216</v>
      </c>
      <c r="H473" s="8">
        <f>mu*dt</f>
        <v>2.5000000000000005E-3</v>
      </c>
      <c r="I473" s="8">
        <f t="shared" ca="1" si="87"/>
        <v>-6.2466191184707698E-3</v>
      </c>
      <c r="J473" s="8">
        <f t="shared" ca="1" si="88"/>
        <v>-3.7466191184707693E-3</v>
      </c>
      <c r="L473" s="8">
        <f t="shared" ca="1" si="89"/>
        <v>17.308645770305137</v>
      </c>
      <c r="M473" s="8">
        <f ca="1">mu*L472*dt</f>
        <v>4.3434346378302083E-2</v>
      </c>
      <c r="N473" s="8">
        <f t="shared" ca="1" si="90"/>
        <v>-0.10852712739399335</v>
      </c>
      <c r="O473" s="8">
        <f t="shared" ca="1" si="91"/>
        <v>-6.509278101569127E-2</v>
      </c>
      <c r="Q473" s="7">
        <f t="shared" si="92"/>
        <v>23.100000000000193</v>
      </c>
      <c r="R473" s="8">
        <f t="shared" ca="1" si="93"/>
        <v>-5.1063719343137672E-3</v>
      </c>
      <c r="S473" s="8">
        <f t="shared" ca="1" si="94"/>
        <v>6.2703572660558216</v>
      </c>
      <c r="T473" s="8">
        <f t="shared" ca="1" si="95"/>
        <v>17.308645770305137</v>
      </c>
    </row>
    <row r="474" spans="1:20" x14ac:dyDescent="0.25">
      <c r="A474" s="7">
        <f>A473+dt</f>
        <v>23.150000000000194</v>
      </c>
      <c r="B474" s="8">
        <f t="shared" ca="1" si="84"/>
        <v>-8.7402116209348325E-3</v>
      </c>
      <c r="C474" s="8">
        <f ca="1">lambda*(a-B473)*dt</f>
        <v>5.1063719343137669E-4</v>
      </c>
      <c r="D474" s="8">
        <f ca="1">sigma*SQRT(dt)*_xlfn.NORM.S.INV(RAND())</f>
        <v>-4.1444768800524417E-3</v>
      </c>
      <c r="E474" s="8">
        <f t="shared" ca="1" si="85"/>
        <v>-3.6338396866210649E-3</v>
      </c>
      <c r="G474" s="8">
        <f t="shared" ca="1" si="86"/>
        <v>6.268712789175769</v>
      </c>
      <c r="H474" s="8">
        <f>mu*dt</f>
        <v>2.5000000000000005E-3</v>
      </c>
      <c r="I474" s="8">
        <f t="shared" ca="1" si="87"/>
        <v>-4.1444768800524417E-3</v>
      </c>
      <c r="J474" s="8">
        <f t="shared" ca="1" si="88"/>
        <v>-1.6444768800524413E-3</v>
      </c>
      <c r="L474" s="8">
        <f t="shared" ca="1" si="89"/>
        <v>17.280182102510853</v>
      </c>
      <c r="M474" s="8">
        <f ca="1">mu*L473*dt</f>
        <v>4.3271614425762848E-2</v>
      </c>
      <c r="N474" s="8">
        <f t="shared" ca="1" si="90"/>
        <v>-7.1735282220047131E-2</v>
      </c>
      <c r="O474" s="8">
        <f t="shared" ca="1" si="91"/>
        <v>-2.8463667794284282E-2</v>
      </c>
      <c r="Q474" s="7">
        <f t="shared" si="92"/>
        <v>23.150000000000194</v>
      </c>
      <c r="R474" s="8">
        <f t="shared" ca="1" si="93"/>
        <v>-8.7402116209348325E-3</v>
      </c>
      <c r="S474" s="8">
        <f t="shared" ca="1" si="94"/>
        <v>6.268712789175769</v>
      </c>
      <c r="T474" s="8">
        <f t="shared" ca="1" si="95"/>
        <v>17.280182102510853</v>
      </c>
    </row>
    <row r="475" spans="1:20" x14ac:dyDescent="0.25">
      <c r="A475" s="7">
        <f>A474+dt</f>
        <v>23.200000000000195</v>
      </c>
      <c r="B475" s="8">
        <f t="shared" ca="1" si="84"/>
        <v>-2.203929462018972E-2</v>
      </c>
      <c r="C475" s="8">
        <f ca="1">lambda*(a-B474)*dt</f>
        <v>8.7402116209348327E-4</v>
      </c>
      <c r="D475" s="8">
        <f ca="1">sigma*SQRT(dt)*_xlfn.NORM.S.INV(RAND())</f>
        <v>-1.4173104161348373E-2</v>
      </c>
      <c r="E475" s="8">
        <f t="shared" ca="1" si="85"/>
        <v>-1.3299082999254889E-2</v>
      </c>
      <c r="G475" s="8">
        <f t="shared" ca="1" si="86"/>
        <v>6.257039685014421</v>
      </c>
      <c r="H475" s="8">
        <f>mu*dt</f>
        <v>2.5000000000000005E-3</v>
      </c>
      <c r="I475" s="8">
        <f t="shared" ca="1" si="87"/>
        <v>-1.4173104161348373E-2</v>
      </c>
      <c r="J475" s="8">
        <f t="shared" ca="1" si="88"/>
        <v>-1.1673104161348372E-2</v>
      </c>
      <c r="L475" s="8">
        <f t="shared" ca="1" si="89"/>
        <v>17.078468736901176</v>
      </c>
      <c r="M475" s="8">
        <f ca="1">mu*L474*dt</f>
        <v>4.3200455256277137E-2</v>
      </c>
      <c r="N475" s="8">
        <f t="shared" ca="1" si="90"/>
        <v>-0.24491382086595426</v>
      </c>
      <c r="O475" s="8">
        <f t="shared" ca="1" si="91"/>
        <v>-0.20171336560967712</v>
      </c>
      <c r="Q475" s="7">
        <f t="shared" si="92"/>
        <v>23.200000000000195</v>
      </c>
      <c r="R475" s="8">
        <f t="shared" ca="1" si="93"/>
        <v>-2.203929462018972E-2</v>
      </c>
      <c r="S475" s="8">
        <f t="shared" ca="1" si="94"/>
        <v>6.257039685014421</v>
      </c>
      <c r="T475" s="8">
        <f t="shared" ca="1" si="95"/>
        <v>17.078468736901176</v>
      </c>
    </row>
    <row r="476" spans="1:20" x14ac:dyDescent="0.25">
      <c r="A476" s="7">
        <f>A475+dt</f>
        <v>23.250000000000195</v>
      </c>
      <c r="B476" s="8">
        <f t="shared" ca="1" si="84"/>
        <v>-5.9183047817988332E-3</v>
      </c>
      <c r="C476" s="8">
        <f ca="1">lambda*(a-B475)*dt</f>
        <v>2.203929462018972E-3</v>
      </c>
      <c r="D476" s="8">
        <f ca="1">sigma*SQRT(dt)*_xlfn.NORM.S.INV(RAND())</f>
        <v>1.3917060376371913E-2</v>
      </c>
      <c r="E476" s="8">
        <f t="shared" ca="1" si="85"/>
        <v>1.6120989838390887E-2</v>
      </c>
      <c r="G476" s="8">
        <f t="shared" ca="1" si="86"/>
        <v>6.273456745390793</v>
      </c>
      <c r="H476" s="8">
        <f>mu*dt</f>
        <v>2.5000000000000005E-3</v>
      </c>
      <c r="I476" s="8">
        <f t="shared" ca="1" si="87"/>
        <v>1.3917060376371913E-2</v>
      </c>
      <c r="J476" s="8">
        <f t="shared" ca="1" si="88"/>
        <v>1.6417060376371913E-2</v>
      </c>
      <c r="L476" s="8">
        <f t="shared" ca="1" si="89"/>
        <v>17.358846989290864</v>
      </c>
      <c r="M476" s="8">
        <f ca="1">mu*L475*dt</f>
        <v>4.2696171842252939E-2</v>
      </c>
      <c r="N476" s="8">
        <f t="shared" ca="1" si="90"/>
        <v>0.23768208054743384</v>
      </c>
      <c r="O476" s="8">
        <f t="shared" ca="1" si="91"/>
        <v>0.28037825238968678</v>
      </c>
      <c r="Q476" s="7">
        <f t="shared" si="92"/>
        <v>23.250000000000195</v>
      </c>
      <c r="R476" s="8">
        <f t="shared" ca="1" si="93"/>
        <v>-5.9183047817988332E-3</v>
      </c>
      <c r="S476" s="8">
        <f t="shared" ca="1" si="94"/>
        <v>6.273456745390793</v>
      </c>
      <c r="T476" s="8">
        <f t="shared" ca="1" si="95"/>
        <v>17.358846989290864</v>
      </c>
    </row>
    <row r="477" spans="1:20" x14ac:dyDescent="0.25">
      <c r="A477" s="7">
        <f>A476+dt</f>
        <v>23.300000000000196</v>
      </c>
      <c r="B477" s="8">
        <f t="shared" ca="1" si="84"/>
        <v>-1.1058311580511631E-3</v>
      </c>
      <c r="C477" s="8">
        <f ca="1">lambda*(a-B476)*dt</f>
        <v>5.9183047817988339E-4</v>
      </c>
      <c r="D477" s="8">
        <f ca="1">sigma*SQRT(dt)*_xlfn.NORM.S.INV(RAND())</f>
        <v>4.2206431455677866E-3</v>
      </c>
      <c r="E477" s="8">
        <f t="shared" ca="1" si="85"/>
        <v>4.8124736237476701E-3</v>
      </c>
      <c r="G477" s="8">
        <f t="shared" ca="1" si="86"/>
        <v>6.2801773885363605</v>
      </c>
      <c r="H477" s="8">
        <f>mu*dt</f>
        <v>2.5000000000000005E-3</v>
      </c>
      <c r="I477" s="8">
        <f t="shared" ca="1" si="87"/>
        <v>4.2206431455677866E-3</v>
      </c>
      <c r="J477" s="8">
        <f t="shared" ca="1" si="88"/>
        <v>6.7206431455677871E-3</v>
      </c>
      <c r="L477" s="8">
        <f t="shared" ca="1" si="89"/>
        <v>17.475509605324401</v>
      </c>
      <c r="M477" s="8">
        <f ca="1">mu*L476*dt</f>
        <v>4.3397117473227165E-2</v>
      </c>
      <c r="N477" s="8">
        <f t="shared" ca="1" si="90"/>
        <v>7.3265498560310491E-2</v>
      </c>
      <c r="O477" s="8">
        <f t="shared" ca="1" si="91"/>
        <v>0.11666261603353766</v>
      </c>
      <c r="Q477" s="7">
        <f t="shared" si="92"/>
        <v>23.300000000000196</v>
      </c>
      <c r="R477" s="8">
        <f t="shared" ca="1" si="93"/>
        <v>-1.1058311580511631E-3</v>
      </c>
      <c r="S477" s="8">
        <f t="shared" ca="1" si="94"/>
        <v>6.2801773885363605</v>
      </c>
      <c r="T477" s="8">
        <f t="shared" ca="1" si="95"/>
        <v>17.475509605324401</v>
      </c>
    </row>
    <row r="478" spans="1:20" x14ac:dyDescent="0.25">
      <c r="A478" s="7">
        <f>A477+dt</f>
        <v>23.350000000000197</v>
      </c>
      <c r="B478" s="8">
        <f t="shared" ca="1" si="84"/>
        <v>3.7619071415550863E-3</v>
      </c>
      <c r="C478" s="8">
        <f ca="1">lambda*(a-B477)*dt</f>
        <v>1.1058311580511632E-4</v>
      </c>
      <c r="D478" s="8">
        <f ca="1">sigma*SQRT(dt)*_xlfn.NORM.S.INV(RAND())</f>
        <v>4.7571551838011331E-3</v>
      </c>
      <c r="E478" s="8">
        <f t="shared" ca="1" si="85"/>
        <v>4.8677382996062495E-3</v>
      </c>
      <c r="G478" s="8">
        <f t="shared" ca="1" si="86"/>
        <v>6.2874345437201615</v>
      </c>
      <c r="H478" s="8">
        <f>mu*dt</f>
        <v>2.5000000000000005E-3</v>
      </c>
      <c r="I478" s="8">
        <f t="shared" ca="1" si="87"/>
        <v>4.7571551838011331E-3</v>
      </c>
      <c r="J478" s="8">
        <f t="shared" ca="1" si="88"/>
        <v>7.2571551838011335E-3</v>
      </c>
      <c r="L478" s="8">
        <f t="shared" ca="1" si="89"/>
        <v>17.602332090446247</v>
      </c>
      <c r="M478" s="8">
        <f ca="1">mu*L477*dt</f>
        <v>4.3688774013311005E-2</v>
      </c>
      <c r="N478" s="8">
        <f t="shared" ca="1" si="90"/>
        <v>8.3133711108535471E-2</v>
      </c>
      <c r="O478" s="8">
        <f t="shared" ca="1" si="91"/>
        <v>0.12682248512184646</v>
      </c>
      <c r="Q478" s="7">
        <f t="shared" si="92"/>
        <v>23.350000000000197</v>
      </c>
      <c r="R478" s="8">
        <f t="shared" ca="1" si="93"/>
        <v>3.7619071415550863E-3</v>
      </c>
      <c r="S478" s="8">
        <f t="shared" ca="1" si="94"/>
        <v>6.2874345437201615</v>
      </c>
      <c r="T478" s="8">
        <f t="shared" ca="1" si="95"/>
        <v>17.602332090446247</v>
      </c>
    </row>
    <row r="479" spans="1:20" x14ac:dyDescent="0.25">
      <c r="A479" s="7">
        <f>A478+dt</f>
        <v>23.400000000000198</v>
      </c>
      <c r="B479" s="8">
        <f t="shared" ca="1" si="84"/>
        <v>2.5324329222601062E-2</v>
      </c>
      <c r="C479" s="8">
        <f ca="1">lambda*(a-B478)*dt</f>
        <v>-3.7619071415550864E-4</v>
      </c>
      <c r="D479" s="8">
        <f ca="1">sigma*SQRT(dt)*_xlfn.NORM.S.INV(RAND())</f>
        <v>2.1938612795201484E-2</v>
      </c>
      <c r="E479" s="8">
        <f t="shared" ca="1" si="85"/>
        <v>2.1562422081045977E-2</v>
      </c>
      <c r="G479" s="8">
        <f t="shared" ca="1" si="86"/>
        <v>6.3118731565153627</v>
      </c>
      <c r="H479" s="8">
        <f>mu*dt</f>
        <v>2.5000000000000005E-3</v>
      </c>
      <c r="I479" s="8">
        <f t="shared" ca="1" si="87"/>
        <v>2.1938612795201484E-2</v>
      </c>
      <c r="J479" s="8">
        <f t="shared" ca="1" si="88"/>
        <v>2.4438612795201486E-2</v>
      </c>
      <c r="L479" s="8">
        <f t="shared" ca="1" si="89"/>
        <v>18.032508668697211</v>
      </c>
      <c r="M479" s="8">
        <f ca="1">mu*L478*dt</f>
        <v>4.4005830226115622E-2</v>
      </c>
      <c r="N479" s="8">
        <f t="shared" ca="1" si="90"/>
        <v>0.38617074802484974</v>
      </c>
      <c r="O479" s="8">
        <f t="shared" ca="1" si="91"/>
        <v>0.43017657825096534</v>
      </c>
      <c r="Q479" s="7">
        <f t="shared" si="92"/>
        <v>23.400000000000198</v>
      </c>
      <c r="R479" s="8">
        <f t="shared" ca="1" si="93"/>
        <v>2.5324329222601062E-2</v>
      </c>
      <c r="S479" s="8">
        <f t="shared" ca="1" si="94"/>
        <v>6.3118731565153627</v>
      </c>
      <c r="T479" s="8">
        <f t="shared" ca="1" si="95"/>
        <v>18.032508668697211</v>
      </c>
    </row>
    <row r="480" spans="1:20" x14ac:dyDescent="0.25">
      <c r="A480" s="7">
        <f>A479+dt</f>
        <v>23.450000000000198</v>
      </c>
      <c r="B480" s="8">
        <f t="shared" ca="1" si="84"/>
        <v>3.6860135372333944E-2</v>
      </c>
      <c r="C480" s="8">
        <f ca="1">lambda*(a-B479)*dt</f>
        <v>-2.5324329222601062E-3</v>
      </c>
      <c r="D480" s="8">
        <f ca="1">sigma*SQRT(dt)*_xlfn.NORM.S.INV(RAND())</f>
        <v>1.4068239071992991E-2</v>
      </c>
      <c r="E480" s="8">
        <f t="shared" ca="1" si="85"/>
        <v>1.1535806149732885E-2</v>
      </c>
      <c r="G480" s="8">
        <f t="shared" ca="1" si="86"/>
        <v>6.3284413955873555</v>
      </c>
      <c r="H480" s="8">
        <f>mu*dt</f>
        <v>2.5000000000000005E-3</v>
      </c>
      <c r="I480" s="8">
        <f t="shared" ca="1" si="87"/>
        <v>1.4068239071992991E-2</v>
      </c>
      <c r="J480" s="8">
        <f t="shared" ca="1" si="88"/>
        <v>1.6568239071992993E-2</v>
      </c>
      <c r="L480" s="8">
        <f t="shared" ca="1" si="89"/>
        <v>18.331275583387974</v>
      </c>
      <c r="M480" s="8">
        <f ca="1">mu*L479*dt</f>
        <v>4.5081271671743028E-2</v>
      </c>
      <c r="N480" s="8">
        <f t="shared" ca="1" si="90"/>
        <v>0.25368564301901841</v>
      </c>
      <c r="O480" s="8">
        <f t="shared" ca="1" si="91"/>
        <v>0.29876691469076144</v>
      </c>
      <c r="Q480" s="7">
        <f t="shared" si="92"/>
        <v>23.450000000000198</v>
      </c>
      <c r="R480" s="8">
        <f t="shared" ca="1" si="93"/>
        <v>3.6860135372333944E-2</v>
      </c>
      <c r="S480" s="8">
        <f t="shared" ca="1" si="94"/>
        <v>6.3284413955873555</v>
      </c>
      <c r="T480" s="8">
        <f t="shared" ca="1" si="95"/>
        <v>18.331275583387974</v>
      </c>
    </row>
    <row r="481" spans="1:20" x14ac:dyDescent="0.25">
      <c r="A481" s="7">
        <f>A480+dt</f>
        <v>23.500000000000199</v>
      </c>
      <c r="B481" s="8">
        <f t="shared" ca="1" si="84"/>
        <v>2.7411027649896887E-2</v>
      </c>
      <c r="C481" s="8">
        <f ca="1">lambda*(a-B480)*dt</f>
        <v>-3.6860135372333946E-3</v>
      </c>
      <c r="D481" s="8">
        <f ca="1">sigma*SQRT(dt)*_xlfn.NORM.S.INV(RAND())</f>
        <v>-5.7630941852036622E-3</v>
      </c>
      <c r="E481" s="8">
        <f t="shared" ca="1" si="85"/>
        <v>-9.4491077224370564E-3</v>
      </c>
      <c r="G481" s="8">
        <f t="shared" ca="1" si="86"/>
        <v>6.3251783014021514</v>
      </c>
      <c r="H481" s="8">
        <f>mu*dt</f>
        <v>2.5000000000000005E-3</v>
      </c>
      <c r="I481" s="8">
        <f t="shared" ca="1" si="87"/>
        <v>-5.7630941852036622E-3</v>
      </c>
      <c r="J481" s="8">
        <f t="shared" ca="1" si="88"/>
        <v>-3.2630941852036617E-3</v>
      </c>
      <c r="L481" s="8">
        <f t="shared" ca="1" si="89"/>
        <v>18.271458904624456</v>
      </c>
      <c r="M481" s="8">
        <f ca="1">mu*L480*dt</f>
        <v>4.5828188958469941E-2</v>
      </c>
      <c r="N481" s="8">
        <f t="shared" ca="1" si="90"/>
        <v>-0.1056448677219891</v>
      </c>
      <c r="O481" s="8">
        <f t="shared" ca="1" si="91"/>
        <v>-5.9816678763519156E-2</v>
      </c>
      <c r="Q481" s="7">
        <f t="shared" si="92"/>
        <v>23.500000000000199</v>
      </c>
      <c r="R481" s="8">
        <f t="shared" ca="1" si="93"/>
        <v>2.7411027649896887E-2</v>
      </c>
      <c r="S481" s="8">
        <f t="shared" ca="1" si="94"/>
        <v>6.3251783014021514</v>
      </c>
      <c r="T481" s="8">
        <f t="shared" ca="1" si="95"/>
        <v>18.271458904624456</v>
      </c>
    </row>
    <row r="482" spans="1:20" x14ac:dyDescent="0.25">
      <c r="A482" s="7">
        <f>A481+dt</f>
        <v>23.5500000000002</v>
      </c>
      <c r="B482" s="8">
        <f t="shared" ca="1" si="84"/>
        <v>8.0794730830308775E-4</v>
      </c>
      <c r="C482" s="8">
        <f ca="1">lambda*(a-B481)*dt</f>
        <v>-2.7411027649896888E-3</v>
      </c>
      <c r="D482" s="8">
        <f ca="1">sigma*SQRT(dt)*_xlfn.NORM.S.INV(RAND())</f>
        <v>-2.3861977576604111E-2</v>
      </c>
      <c r="E482" s="8">
        <f t="shared" ca="1" si="85"/>
        <v>-2.66030803415938E-2</v>
      </c>
      <c r="G482" s="8">
        <f t="shared" ca="1" si="86"/>
        <v>6.3038163238255471</v>
      </c>
      <c r="H482" s="8">
        <f>mu*dt</f>
        <v>2.5000000000000005E-3</v>
      </c>
      <c r="I482" s="8">
        <f t="shared" ca="1" si="87"/>
        <v>-2.3861977576604111E-2</v>
      </c>
      <c r="J482" s="8">
        <f t="shared" ca="1" si="88"/>
        <v>-2.1361977576604109E-2</v>
      </c>
      <c r="L482" s="8">
        <f t="shared" ca="1" si="89"/>
        <v>17.881144409212027</v>
      </c>
      <c r="M482" s="8">
        <f ca="1">mu*L481*dt</f>
        <v>4.5678647261561151E-2</v>
      </c>
      <c r="N482" s="8">
        <f t="shared" ca="1" si="90"/>
        <v>-0.43599314267399231</v>
      </c>
      <c r="O482" s="8">
        <f t="shared" ca="1" si="91"/>
        <v>-0.39031449541243113</v>
      </c>
      <c r="Q482" s="7">
        <f t="shared" si="92"/>
        <v>23.5500000000002</v>
      </c>
      <c r="R482" s="8">
        <f t="shared" ca="1" si="93"/>
        <v>8.0794730830308775E-4</v>
      </c>
      <c r="S482" s="8">
        <f t="shared" ca="1" si="94"/>
        <v>6.3038163238255471</v>
      </c>
      <c r="T482" s="8">
        <f t="shared" ca="1" si="95"/>
        <v>17.881144409212027</v>
      </c>
    </row>
    <row r="483" spans="1:20" x14ac:dyDescent="0.25">
      <c r="A483" s="7">
        <f>A482+dt</f>
        <v>23.6000000000002</v>
      </c>
      <c r="B483" s="8">
        <f t="shared" ca="1" si="84"/>
        <v>2.914624827417779E-3</v>
      </c>
      <c r="C483" s="8">
        <f ca="1">lambda*(a-B482)*dt</f>
        <v>-8.0794730830308786E-5</v>
      </c>
      <c r="D483" s="8">
        <f ca="1">sigma*SQRT(dt)*_xlfn.NORM.S.INV(RAND())</f>
        <v>2.1874722499450002E-3</v>
      </c>
      <c r="E483" s="8">
        <f t="shared" ca="1" si="85"/>
        <v>2.1066775191146913E-3</v>
      </c>
      <c r="G483" s="8">
        <f t="shared" ca="1" si="86"/>
        <v>6.3085037960754917</v>
      </c>
      <c r="H483" s="8">
        <f>mu*dt</f>
        <v>2.5000000000000005E-3</v>
      </c>
      <c r="I483" s="8">
        <f t="shared" ca="1" si="87"/>
        <v>2.1874722499450002E-3</v>
      </c>
      <c r="J483" s="8">
        <f t="shared" ca="1" si="88"/>
        <v>4.6874722499450003E-3</v>
      </c>
      <c r="L483" s="8">
        <f t="shared" ca="1" si="89"/>
        <v>17.964961777427469</v>
      </c>
      <c r="M483" s="8">
        <f ca="1">mu*L482*dt</f>
        <v>4.4702861023030074E-2</v>
      </c>
      <c r="N483" s="8">
        <f t="shared" ca="1" si="90"/>
        <v>3.9114507192410497E-2</v>
      </c>
      <c r="O483" s="8">
        <f t="shared" ca="1" si="91"/>
        <v>8.3817368215440571E-2</v>
      </c>
      <c r="Q483" s="7">
        <f t="shared" si="92"/>
        <v>23.6000000000002</v>
      </c>
      <c r="R483" s="8">
        <f t="shared" ca="1" si="93"/>
        <v>2.914624827417779E-3</v>
      </c>
      <c r="S483" s="8">
        <f t="shared" ca="1" si="94"/>
        <v>6.3085037960754917</v>
      </c>
      <c r="T483" s="8">
        <f t="shared" ca="1" si="95"/>
        <v>17.964961777427469</v>
      </c>
    </row>
    <row r="484" spans="1:20" x14ac:dyDescent="0.25">
      <c r="A484" s="7">
        <f>A483+dt</f>
        <v>23.650000000000201</v>
      </c>
      <c r="B484" s="8">
        <f t="shared" ca="1" si="84"/>
        <v>5.2528767310990945E-3</v>
      </c>
      <c r="C484" s="8">
        <f ca="1">lambda*(a-B483)*dt</f>
        <v>-2.914624827417779E-4</v>
      </c>
      <c r="D484" s="8">
        <f ca="1">sigma*SQRT(dt)*_xlfn.NORM.S.INV(RAND())</f>
        <v>2.6297143864230941E-3</v>
      </c>
      <c r="E484" s="8">
        <f t="shared" ca="1" si="85"/>
        <v>2.3382519036813159E-3</v>
      </c>
      <c r="G484" s="8">
        <f t="shared" ca="1" si="86"/>
        <v>6.3136335104619148</v>
      </c>
      <c r="H484" s="8">
        <f>mu*dt</f>
        <v>2.5000000000000005E-3</v>
      </c>
      <c r="I484" s="8">
        <f t="shared" ca="1" si="87"/>
        <v>2.6297143864230941E-3</v>
      </c>
      <c r="J484" s="8">
        <f t="shared" ca="1" si="88"/>
        <v>5.1297143864230945E-3</v>
      </c>
      <c r="L484" s="8">
        <f t="shared" ca="1" si="89"/>
        <v>18.057116900308678</v>
      </c>
      <c r="M484" s="8">
        <f ca="1">mu*L483*dt</f>
        <v>4.4912404443568678E-2</v>
      </c>
      <c r="N484" s="8">
        <f t="shared" ca="1" si="90"/>
        <v>4.7242718437642016E-2</v>
      </c>
      <c r="O484" s="8">
        <f t="shared" ca="1" si="91"/>
        <v>9.2155122881210694E-2</v>
      </c>
      <c r="Q484" s="7">
        <f t="shared" si="92"/>
        <v>23.650000000000201</v>
      </c>
      <c r="R484" s="8">
        <f t="shared" ca="1" si="93"/>
        <v>5.2528767310990945E-3</v>
      </c>
      <c r="S484" s="8">
        <f t="shared" ca="1" si="94"/>
        <v>6.3136335104619148</v>
      </c>
      <c r="T484" s="8">
        <f t="shared" ca="1" si="95"/>
        <v>18.057116900308678</v>
      </c>
    </row>
    <row r="485" spans="1:20" x14ac:dyDescent="0.25">
      <c r="A485" s="7">
        <f>A484+dt</f>
        <v>23.700000000000202</v>
      </c>
      <c r="B485" s="8">
        <f t="shared" ca="1" si="84"/>
        <v>-3.794731447237687E-3</v>
      </c>
      <c r="C485" s="8">
        <f ca="1">lambda*(a-B484)*dt</f>
        <v>-5.2528767310990943E-4</v>
      </c>
      <c r="D485" s="8">
        <f ca="1">sigma*SQRT(dt)*_xlfn.NORM.S.INV(RAND())</f>
        <v>-8.5223205052268724E-3</v>
      </c>
      <c r="E485" s="8">
        <f t="shared" ca="1" si="85"/>
        <v>-9.0476081783367815E-3</v>
      </c>
      <c r="G485" s="8">
        <f t="shared" ca="1" si="86"/>
        <v>6.3076111899566882</v>
      </c>
      <c r="H485" s="8">
        <f>mu*dt</f>
        <v>2.5000000000000005E-3</v>
      </c>
      <c r="I485" s="8">
        <f t="shared" ca="1" si="87"/>
        <v>-8.5223205052268724E-3</v>
      </c>
      <c r="J485" s="8">
        <f t="shared" ca="1" si="88"/>
        <v>-6.0223205052268719E-3</v>
      </c>
      <c r="L485" s="8">
        <f t="shared" ca="1" si="89"/>
        <v>17.948371154934669</v>
      </c>
      <c r="M485" s="8">
        <f ca="1">mu*L484*dt</f>
        <v>4.5142792250771696E-2</v>
      </c>
      <c r="N485" s="8">
        <f t="shared" ca="1" si="90"/>
        <v>-0.15388853762477936</v>
      </c>
      <c r="O485" s="8">
        <f t="shared" ca="1" si="91"/>
        <v>-0.10874574537400766</v>
      </c>
      <c r="Q485" s="7">
        <f t="shared" si="92"/>
        <v>23.700000000000202</v>
      </c>
      <c r="R485" s="8">
        <f t="shared" ca="1" si="93"/>
        <v>-3.794731447237687E-3</v>
      </c>
      <c r="S485" s="8">
        <f t="shared" ca="1" si="94"/>
        <v>6.3076111899566882</v>
      </c>
      <c r="T485" s="8">
        <f t="shared" ca="1" si="95"/>
        <v>17.948371154934669</v>
      </c>
    </row>
    <row r="486" spans="1:20" x14ac:dyDescent="0.25">
      <c r="A486" s="7">
        <f>A485+dt</f>
        <v>23.750000000000203</v>
      </c>
      <c r="B486" s="8">
        <f t="shared" ca="1" si="84"/>
        <v>-7.3113701675836633E-3</v>
      </c>
      <c r="C486" s="8">
        <f ca="1">lambda*(a-B485)*dt</f>
        <v>3.7947314472376874E-4</v>
      </c>
      <c r="D486" s="8">
        <f ca="1">sigma*SQRT(dt)*_xlfn.NORM.S.INV(RAND())</f>
        <v>-3.8961118650697453E-3</v>
      </c>
      <c r="E486" s="8">
        <f t="shared" ca="1" si="85"/>
        <v>-3.5166387203459763E-3</v>
      </c>
      <c r="G486" s="8">
        <f t="shared" ca="1" si="86"/>
        <v>6.3062150780916184</v>
      </c>
      <c r="H486" s="8">
        <f>mu*dt</f>
        <v>2.5000000000000005E-3</v>
      </c>
      <c r="I486" s="8">
        <f t="shared" ca="1" si="87"/>
        <v>-3.8961118650697453E-3</v>
      </c>
      <c r="J486" s="8">
        <f t="shared" ca="1" si="88"/>
        <v>-1.3961118650697448E-3</v>
      </c>
      <c r="L486" s="8">
        <f t="shared" ca="1" si="89"/>
        <v>17.923313221006591</v>
      </c>
      <c r="M486" s="8">
        <f ca="1">mu*L485*dt</f>
        <v>4.4870927887336681E-2</v>
      </c>
      <c r="N486" s="8">
        <f t="shared" ca="1" si="90"/>
        <v>-6.9928861815416535E-2</v>
      </c>
      <c r="O486" s="8">
        <f t="shared" ca="1" si="91"/>
        <v>-2.5057933928079854E-2</v>
      </c>
      <c r="Q486" s="7">
        <f t="shared" si="92"/>
        <v>23.750000000000203</v>
      </c>
      <c r="R486" s="8">
        <f t="shared" ca="1" si="93"/>
        <v>-7.3113701675836633E-3</v>
      </c>
      <c r="S486" s="8">
        <f t="shared" ca="1" si="94"/>
        <v>6.3062150780916184</v>
      </c>
      <c r="T486" s="8">
        <f t="shared" ca="1" si="95"/>
        <v>17.923313221006591</v>
      </c>
    </row>
    <row r="487" spans="1:20" x14ac:dyDescent="0.25">
      <c r="A487" s="7">
        <f>A486+dt</f>
        <v>23.800000000000203</v>
      </c>
      <c r="B487" s="8">
        <f t="shared" ca="1" si="84"/>
        <v>3.2716247519299999E-3</v>
      </c>
      <c r="C487" s="8">
        <f ca="1">lambda*(a-B486)*dt</f>
        <v>7.3113701675836637E-4</v>
      </c>
      <c r="D487" s="8">
        <f ca="1">sigma*SQRT(dt)*_xlfn.NORM.S.INV(RAND())</f>
        <v>9.8518579027552962E-3</v>
      </c>
      <c r="E487" s="8">
        <f t="shared" ca="1" si="85"/>
        <v>1.0582994919513663E-2</v>
      </c>
      <c r="G487" s="8">
        <f t="shared" ca="1" si="86"/>
        <v>6.3185669359943741</v>
      </c>
      <c r="H487" s="8">
        <f>mu*dt</f>
        <v>2.5000000000000005E-3</v>
      </c>
      <c r="I487" s="8">
        <f t="shared" ca="1" si="87"/>
        <v>9.8518579027552962E-3</v>
      </c>
      <c r="J487" s="8">
        <f t="shared" ca="1" si="88"/>
        <v>1.2351857902755297E-2</v>
      </c>
      <c r="L487" s="8">
        <f t="shared" ca="1" si="89"/>
        <v>18.144699439059039</v>
      </c>
      <c r="M487" s="8">
        <f ca="1">mu*L486*dt</f>
        <v>4.4808283052516482E-2</v>
      </c>
      <c r="N487" s="8">
        <f t="shared" ca="1" si="90"/>
        <v>0.17657793499993227</v>
      </c>
      <c r="O487" s="8">
        <f t="shared" ca="1" si="91"/>
        <v>0.22138621805244874</v>
      </c>
      <c r="Q487" s="7">
        <f t="shared" si="92"/>
        <v>23.800000000000203</v>
      </c>
      <c r="R487" s="8">
        <f t="shared" ca="1" si="93"/>
        <v>3.2716247519299999E-3</v>
      </c>
      <c r="S487" s="8">
        <f t="shared" ca="1" si="94"/>
        <v>6.3185669359943741</v>
      </c>
      <c r="T487" s="8">
        <f t="shared" ca="1" si="95"/>
        <v>18.144699439059039</v>
      </c>
    </row>
    <row r="488" spans="1:20" x14ac:dyDescent="0.25">
      <c r="A488" s="7">
        <f>A487+dt</f>
        <v>23.850000000000204</v>
      </c>
      <c r="B488" s="8">
        <f t="shared" ca="1" si="84"/>
        <v>-1.2176340946128414E-2</v>
      </c>
      <c r="C488" s="8">
        <f ca="1">lambda*(a-B487)*dt</f>
        <v>-3.27162475193E-4</v>
      </c>
      <c r="D488" s="8">
        <f ca="1">sigma*SQRT(dt)*_xlfn.NORM.S.INV(RAND())</f>
        <v>-1.5120803222865414E-2</v>
      </c>
      <c r="E488" s="8">
        <f t="shared" ca="1" si="85"/>
        <v>-1.5447965698058414E-2</v>
      </c>
      <c r="G488" s="8">
        <f t="shared" ca="1" si="86"/>
        <v>6.3059461327715089</v>
      </c>
      <c r="H488" s="8">
        <f>mu*dt</f>
        <v>2.5000000000000005E-3</v>
      </c>
      <c r="I488" s="8">
        <f t="shared" ca="1" si="87"/>
        <v>-1.5120803222865414E-2</v>
      </c>
      <c r="J488" s="8">
        <f t="shared" ca="1" si="88"/>
        <v>-1.2620803222865414E-2</v>
      </c>
      <c r="L488" s="8">
        <f t="shared" ca="1" si="89"/>
        <v>17.915698757900639</v>
      </c>
      <c r="M488" s="8">
        <f ca="1">mu*L487*dt</f>
        <v>4.5361748597647605E-2</v>
      </c>
      <c r="N488" s="8">
        <f t="shared" ca="1" si="90"/>
        <v>-0.27436242975604819</v>
      </c>
      <c r="O488" s="8">
        <f t="shared" ca="1" si="91"/>
        <v>-0.22900068115840058</v>
      </c>
      <c r="Q488" s="7">
        <f t="shared" si="92"/>
        <v>23.850000000000204</v>
      </c>
      <c r="R488" s="8">
        <f t="shared" ca="1" si="93"/>
        <v>-1.2176340946128414E-2</v>
      </c>
      <c r="S488" s="8">
        <f t="shared" ca="1" si="94"/>
        <v>6.3059461327715089</v>
      </c>
      <c r="T488" s="8">
        <f t="shared" ca="1" si="95"/>
        <v>17.915698757900639</v>
      </c>
    </row>
    <row r="489" spans="1:20" x14ac:dyDescent="0.25">
      <c r="A489" s="7">
        <f>A488+dt</f>
        <v>23.900000000000205</v>
      </c>
      <c r="B489" s="8">
        <f t="shared" ca="1" si="84"/>
        <v>-2.7171501554196266E-2</v>
      </c>
      <c r="C489" s="8">
        <f ca="1">lambda*(a-B488)*dt</f>
        <v>1.2176340946128414E-3</v>
      </c>
      <c r="D489" s="8">
        <f ca="1">sigma*SQRT(dt)*_xlfn.NORM.S.INV(RAND())</f>
        <v>-1.6212794702680694E-2</v>
      </c>
      <c r="E489" s="8">
        <f t="shared" ca="1" si="85"/>
        <v>-1.4995160608067853E-2</v>
      </c>
      <c r="G489" s="8">
        <f t="shared" ca="1" si="86"/>
        <v>6.2922333380688285</v>
      </c>
      <c r="H489" s="8">
        <f>mu*dt</f>
        <v>2.5000000000000005E-3</v>
      </c>
      <c r="I489" s="8">
        <f t="shared" ca="1" si="87"/>
        <v>-1.6212794702680694E-2</v>
      </c>
      <c r="J489" s="8">
        <f t="shared" ca="1" si="88"/>
        <v>-1.3712794702680694E-2</v>
      </c>
      <c r="L489" s="8">
        <f t="shared" ca="1" si="89"/>
        <v>17.670024458878476</v>
      </c>
      <c r="M489" s="8">
        <f ca="1">mu*L488*dt</f>
        <v>4.4789246894751604E-2</v>
      </c>
      <c r="N489" s="8">
        <f t="shared" ca="1" si="90"/>
        <v>-0.29046354591691459</v>
      </c>
      <c r="O489" s="8">
        <f t="shared" ca="1" si="91"/>
        <v>-0.24567429902216298</v>
      </c>
      <c r="Q489" s="7">
        <f t="shared" si="92"/>
        <v>23.900000000000205</v>
      </c>
      <c r="R489" s="8">
        <f t="shared" ca="1" si="93"/>
        <v>-2.7171501554196266E-2</v>
      </c>
      <c r="S489" s="8">
        <f t="shared" ca="1" si="94"/>
        <v>6.2922333380688285</v>
      </c>
      <c r="T489" s="8">
        <f t="shared" ca="1" si="95"/>
        <v>17.670024458878476</v>
      </c>
    </row>
    <row r="490" spans="1:20" x14ac:dyDescent="0.25">
      <c r="A490" s="7">
        <f>A489+dt</f>
        <v>23.950000000000205</v>
      </c>
      <c r="B490" s="8">
        <f t="shared" ca="1" si="84"/>
        <v>-2.790658566648882E-2</v>
      </c>
      <c r="C490" s="8">
        <f ca="1">lambda*(a-B489)*dt</f>
        <v>2.7171501554196266E-3</v>
      </c>
      <c r="D490" s="8">
        <f ca="1">sigma*SQRT(dt)*_xlfn.NORM.S.INV(RAND())</f>
        <v>-3.4522342677121795E-3</v>
      </c>
      <c r="E490" s="8">
        <f t="shared" ca="1" si="85"/>
        <v>-7.3508411229255286E-4</v>
      </c>
      <c r="G490" s="8">
        <f t="shared" ca="1" si="86"/>
        <v>6.2912811038011167</v>
      </c>
      <c r="H490" s="8">
        <f>mu*dt</f>
        <v>2.5000000000000005E-3</v>
      </c>
      <c r="I490" s="8">
        <f t="shared" ca="1" si="87"/>
        <v>-3.4522342677121795E-3</v>
      </c>
      <c r="J490" s="8">
        <f t="shared" ca="1" si="88"/>
        <v>-9.5223426771217897E-4</v>
      </c>
      <c r="L490" s="8">
        <f t="shared" ca="1" si="89"/>
        <v>17.653198456077419</v>
      </c>
      <c r="M490" s="8">
        <f ca="1">mu*L489*dt</f>
        <v>4.4175061147196194E-2</v>
      </c>
      <c r="N490" s="8">
        <f t="shared" ca="1" si="90"/>
        <v>-6.1001063948252637E-2</v>
      </c>
      <c r="O490" s="8">
        <f t="shared" ca="1" si="91"/>
        <v>-1.6826002801056443E-2</v>
      </c>
      <c r="Q490" s="7">
        <f t="shared" si="92"/>
        <v>23.950000000000205</v>
      </c>
      <c r="R490" s="8">
        <f t="shared" ca="1" si="93"/>
        <v>-2.790658566648882E-2</v>
      </c>
      <c r="S490" s="8">
        <f t="shared" ca="1" si="94"/>
        <v>6.2912811038011167</v>
      </c>
      <c r="T490" s="8">
        <f t="shared" ca="1" si="95"/>
        <v>17.653198456077419</v>
      </c>
    </row>
    <row r="491" spans="1:20" x14ac:dyDescent="0.25">
      <c r="A491" s="7">
        <f>A490+dt</f>
        <v>24.000000000000206</v>
      </c>
      <c r="B491" s="8">
        <f t="shared" ca="1" si="84"/>
        <v>-1.6861434394367669E-2</v>
      </c>
      <c r="C491" s="8">
        <f ca="1">lambda*(a-B490)*dt</f>
        <v>2.790658566648882E-3</v>
      </c>
      <c r="D491" s="8">
        <f ca="1">sigma*SQRT(dt)*_xlfn.NORM.S.INV(RAND())</f>
        <v>8.2544927054722696E-3</v>
      </c>
      <c r="E491" s="8">
        <f t="shared" ca="1" si="85"/>
        <v>1.1045151272121152E-2</v>
      </c>
      <c r="G491" s="8">
        <f t="shared" ca="1" si="86"/>
        <v>6.3020355965065891</v>
      </c>
      <c r="H491" s="8">
        <f>mu*dt</f>
        <v>2.5000000000000005E-3</v>
      </c>
      <c r="I491" s="8">
        <f t="shared" ca="1" si="87"/>
        <v>8.2544927054722696E-3</v>
      </c>
      <c r="J491" s="8">
        <f t="shared" ca="1" si="88"/>
        <v>1.075449270547227E-2</v>
      </c>
      <c r="L491" s="8">
        <f t="shared" ca="1" si="89"/>
        <v>17.843049650101559</v>
      </c>
      <c r="M491" s="8">
        <f ca="1">mu*L490*dt</f>
        <v>4.4132996140193552E-2</v>
      </c>
      <c r="N491" s="8">
        <f t="shared" ca="1" si="90"/>
        <v>0.14571819788394538</v>
      </c>
      <c r="O491" s="8">
        <f t="shared" ca="1" si="91"/>
        <v>0.18985119402413894</v>
      </c>
      <c r="Q491" s="7">
        <f t="shared" si="92"/>
        <v>24.000000000000206</v>
      </c>
      <c r="R491" s="8">
        <f t="shared" ca="1" si="93"/>
        <v>-1.6861434394367669E-2</v>
      </c>
      <c r="S491" s="8">
        <f t="shared" ca="1" si="94"/>
        <v>6.3020355965065891</v>
      </c>
      <c r="T491" s="8">
        <f t="shared" ca="1" si="95"/>
        <v>17.843049650101559</v>
      </c>
    </row>
    <row r="492" spans="1:20" x14ac:dyDescent="0.25">
      <c r="A492" s="7">
        <f>A491+dt</f>
        <v>24.050000000000207</v>
      </c>
      <c r="B492" s="8">
        <f t="shared" ca="1" si="84"/>
        <v>-2.8147532578097309E-2</v>
      </c>
      <c r="C492" s="8">
        <f ca="1">lambda*(a-B491)*dt</f>
        <v>1.6861434394367669E-3</v>
      </c>
      <c r="D492" s="8">
        <f ca="1">sigma*SQRT(dt)*_xlfn.NORM.S.INV(RAND())</f>
        <v>-1.297224162316641E-2</v>
      </c>
      <c r="E492" s="8">
        <f t="shared" ca="1" si="85"/>
        <v>-1.1286098183729642E-2</v>
      </c>
      <c r="G492" s="8">
        <f t="shared" ca="1" si="86"/>
        <v>6.2915633548834222</v>
      </c>
      <c r="H492" s="8">
        <f>mu*dt</f>
        <v>2.5000000000000005E-3</v>
      </c>
      <c r="I492" s="8">
        <f t="shared" ca="1" si="87"/>
        <v>-1.297224162316641E-2</v>
      </c>
      <c r="J492" s="8">
        <f t="shared" ca="1" si="88"/>
        <v>-1.0472241623166409E-2</v>
      </c>
      <c r="L492" s="8">
        <f t="shared" ca="1" si="89"/>
        <v>17.65619292287154</v>
      </c>
      <c r="M492" s="8">
        <f ca="1">mu*L491*dt</f>
        <v>4.4607624125253903E-2</v>
      </c>
      <c r="N492" s="8">
        <f t="shared" ca="1" si="90"/>
        <v>-0.2314643513552723</v>
      </c>
      <c r="O492" s="8">
        <f t="shared" ca="1" si="91"/>
        <v>-0.18685672723001839</v>
      </c>
      <c r="Q492" s="7">
        <f t="shared" si="92"/>
        <v>24.050000000000207</v>
      </c>
      <c r="R492" s="8">
        <f t="shared" ca="1" si="93"/>
        <v>-2.8147532578097309E-2</v>
      </c>
      <c r="S492" s="8">
        <f t="shared" ca="1" si="94"/>
        <v>6.2915633548834222</v>
      </c>
      <c r="T492" s="8">
        <f t="shared" ca="1" si="95"/>
        <v>17.65619292287154</v>
      </c>
    </row>
    <row r="493" spans="1:20" x14ac:dyDescent="0.25">
      <c r="A493" s="7">
        <f>A492+dt</f>
        <v>24.100000000000207</v>
      </c>
      <c r="B493" s="8">
        <f t="shared" ca="1" si="84"/>
        <v>-3.0770383665441603E-2</v>
      </c>
      <c r="C493" s="8">
        <f ca="1">lambda*(a-B492)*dt</f>
        <v>2.8147532578097312E-3</v>
      </c>
      <c r="D493" s="8">
        <f ca="1">sigma*SQRT(dt)*_xlfn.NORM.S.INV(RAND())</f>
        <v>-5.4376043451540238E-3</v>
      </c>
      <c r="E493" s="8">
        <f t="shared" ca="1" si="85"/>
        <v>-2.6228510873442927E-3</v>
      </c>
      <c r="G493" s="8">
        <f t="shared" ca="1" si="86"/>
        <v>6.2886257505382686</v>
      </c>
      <c r="H493" s="8">
        <f>mu*dt</f>
        <v>2.5000000000000005E-3</v>
      </c>
      <c r="I493" s="8">
        <f t="shared" ca="1" si="87"/>
        <v>-5.4376043451540238E-3</v>
      </c>
      <c r="J493" s="8">
        <f t="shared" ca="1" si="88"/>
        <v>-2.9376043451540233E-3</v>
      </c>
      <c r="L493" s="8">
        <f t="shared" ca="1" si="89"/>
        <v>17.604326013822433</v>
      </c>
      <c r="M493" s="8">
        <f ca="1">mu*L492*dt</f>
        <v>4.4140482307178854E-2</v>
      </c>
      <c r="N493" s="8">
        <f t="shared" ca="1" si="90"/>
        <v>-9.6007391356284014E-2</v>
      </c>
      <c r="O493" s="8">
        <f t="shared" ca="1" si="91"/>
        <v>-5.186690904910516E-2</v>
      </c>
      <c r="Q493" s="7">
        <f t="shared" si="92"/>
        <v>24.100000000000207</v>
      </c>
      <c r="R493" s="8">
        <f t="shared" ca="1" si="93"/>
        <v>-3.0770383665441603E-2</v>
      </c>
      <c r="S493" s="8">
        <f t="shared" ca="1" si="94"/>
        <v>6.2886257505382686</v>
      </c>
      <c r="T493" s="8">
        <f t="shared" ca="1" si="95"/>
        <v>17.604326013822433</v>
      </c>
    </row>
    <row r="494" spans="1:20" x14ac:dyDescent="0.25">
      <c r="A494" s="7">
        <f>A493+dt</f>
        <v>24.150000000000208</v>
      </c>
      <c r="B494" s="8">
        <f t="shared" ca="1" si="84"/>
        <v>-3.9957959380548823E-2</v>
      </c>
      <c r="C494" s="8">
        <f ca="1">lambda*(a-B493)*dt</f>
        <v>3.0770383665441603E-3</v>
      </c>
      <c r="D494" s="8">
        <f ca="1">sigma*SQRT(dt)*_xlfn.NORM.S.INV(RAND())</f>
        <v>-1.2264614081651378E-2</v>
      </c>
      <c r="E494" s="8">
        <f t="shared" ca="1" si="85"/>
        <v>-9.1875757151072181E-3</v>
      </c>
      <c r="G494" s="8">
        <f t="shared" ca="1" si="86"/>
        <v>6.2788611364566176</v>
      </c>
      <c r="H494" s="8">
        <f>mu*dt</f>
        <v>2.5000000000000005E-3</v>
      </c>
      <c r="I494" s="8">
        <f t="shared" ca="1" si="87"/>
        <v>-1.2264614081651378E-2</v>
      </c>
      <c r="J494" s="8">
        <f t="shared" ca="1" si="88"/>
        <v>-9.764614081651378E-3</v>
      </c>
      <c r="L494" s="8">
        <f t="shared" ca="1" si="89"/>
        <v>17.43242656412988</v>
      </c>
      <c r="M494" s="8">
        <f ca="1">mu*L493*dt</f>
        <v>4.4010815034556089E-2</v>
      </c>
      <c r="N494" s="8">
        <f t="shared" ca="1" si="90"/>
        <v>-0.21591026472710831</v>
      </c>
      <c r="O494" s="8">
        <f t="shared" ca="1" si="91"/>
        <v>-0.17189944969255222</v>
      </c>
      <c r="Q494" s="7">
        <f t="shared" si="92"/>
        <v>24.150000000000208</v>
      </c>
      <c r="R494" s="8">
        <f t="shared" ca="1" si="93"/>
        <v>-3.9957959380548823E-2</v>
      </c>
      <c r="S494" s="8">
        <f t="shared" ca="1" si="94"/>
        <v>6.2788611364566176</v>
      </c>
      <c r="T494" s="8">
        <f t="shared" ca="1" si="95"/>
        <v>17.43242656412988</v>
      </c>
    </row>
    <row r="495" spans="1:20" x14ac:dyDescent="0.25">
      <c r="A495" s="7">
        <f>A494+dt</f>
        <v>24.200000000000209</v>
      </c>
      <c r="B495" s="8">
        <f t="shared" ca="1" si="84"/>
        <v>-3.956222049541238E-2</v>
      </c>
      <c r="C495" s="8">
        <f ca="1">lambda*(a-B494)*dt</f>
        <v>3.9957959380548828E-3</v>
      </c>
      <c r="D495" s="8">
        <f ca="1">sigma*SQRT(dt)*_xlfn.NORM.S.INV(RAND())</f>
        <v>-3.6000570529184381E-3</v>
      </c>
      <c r="E495" s="8">
        <f t="shared" ca="1" si="85"/>
        <v>3.9573888513644469E-4</v>
      </c>
      <c r="G495" s="8">
        <f t="shared" ca="1" si="86"/>
        <v>6.2777610794036995</v>
      </c>
      <c r="H495" s="8">
        <f>mu*dt</f>
        <v>2.5000000000000005E-3</v>
      </c>
      <c r="I495" s="8">
        <f t="shared" ca="1" si="87"/>
        <v>-3.6000570529184381E-3</v>
      </c>
      <c r="J495" s="8">
        <f t="shared" ca="1" si="88"/>
        <v>-1.1000570529184376E-3</v>
      </c>
      <c r="L495" s="8">
        <f t="shared" ca="1" si="89"/>
        <v>17.413249900338528</v>
      </c>
      <c r="M495" s="8">
        <f ca="1">mu*L494*dt</f>
        <v>4.3581066410324706E-2</v>
      </c>
      <c r="N495" s="8">
        <f t="shared" ca="1" si="90"/>
        <v>-6.2757730201678505E-2</v>
      </c>
      <c r="O495" s="8">
        <f t="shared" ca="1" si="91"/>
        <v>-1.9176663791353799E-2</v>
      </c>
      <c r="Q495" s="7">
        <f t="shared" si="92"/>
        <v>24.200000000000209</v>
      </c>
      <c r="R495" s="8">
        <f t="shared" ca="1" si="93"/>
        <v>-3.956222049541238E-2</v>
      </c>
      <c r="S495" s="8">
        <f t="shared" ca="1" si="94"/>
        <v>6.2777610794036995</v>
      </c>
      <c r="T495" s="8">
        <f t="shared" ca="1" si="95"/>
        <v>17.413249900338528</v>
      </c>
    </row>
    <row r="496" spans="1:20" x14ac:dyDescent="0.25">
      <c r="A496" s="7">
        <f>A495+dt</f>
        <v>24.25000000000021</v>
      </c>
      <c r="B496" s="8">
        <f t="shared" ca="1" si="84"/>
        <v>-2.522315129426116E-2</v>
      </c>
      <c r="C496" s="8">
        <f ca="1">lambda*(a-B495)*dt</f>
        <v>3.956222049541238E-3</v>
      </c>
      <c r="D496" s="8">
        <f ca="1">sigma*SQRT(dt)*_xlfn.NORM.S.INV(RAND())</f>
        <v>1.0382847151609982E-2</v>
      </c>
      <c r="E496" s="8">
        <f t="shared" ca="1" si="85"/>
        <v>1.433906920115122E-2</v>
      </c>
      <c r="G496" s="8">
        <f t="shared" ca="1" si="86"/>
        <v>6.2906439265553091</v>
      </c>
      <c r="H496" s="8">
        <f>mu*dt</f>
        <v>2.5000000000000005E-3</v>
      </c>
      <c r="I496" s="8">
        <f t="shared" ca="1" si="87"/>
        <v>1.0382847151609982E-2</v>
      </c>
      <c r="J496" s="8">
        <f t="shared" ca="1" si="88"/>
        <v>1.2882847151609983E-2</v>
      </c>
      <c r="L496" s="8">
        <f t="shared" ca="1" si="89"/>
        <v>17.637582137217375</v>
      </c>
      <c r="M496" s="8">
        <f ca="1">mu*L495*dt</f>
        <v>4.3533124750846322E-2</v>
      </c>
      <c r="N496" s="8">
        <f t="shared" ca="1" si="90"/>
        <v>0.18079911212800268</v>
      </c>
      <c r="O496" s="8">
        <f t="shared" ca="1" si="91"/>
        <v>0.22433223687884901</v>
      </c>
      <c r="Q496" s="7">
        <f t="shared" si="92"/>
        <v>24.25000000000021</v>
      </c>
      <c r="R496" s="8">
        <f t="shared" ca="1" si="93"/>
        <v>-2.522315129426116E-2</v>
      </c>
      <c r="S496" s="8">
        <f t="shared" ca="1" si="94"/>
        <v>6.2906439265553091</v>
      </c>
      <c r="T496" s="8">
        <f t="shared" ca="1" si="95"/>
        <v>17.637582137217375</v>
      </c>
    </row>
    <row r="497" spans="1:20" x14ac:dyDescent="0.25">
      <c r="A497" s="7">
        <f>A496+dt</f>
        <v>24.30000000000021</v>
      </c>
      <c r="B497" s="8">
        <f t="shared" ca="1" si="84"/>
        <v>-3.4819689668556197E-2</v>
      </c>
      <c r="C497" s="8">
        <f ca="1">lambda*(a-B496)*dt</f>
        <v>2.5223151294261163E-3</v>
      </c>
      <c r="D497" s="8">
        <f ca="1">sigma*SQRT(dt)*_xlfn.NORM.S.INV(RAND())</f>
        <v>-1.2118853503721152E-2</v>
      </c>
      <c r="E497" s="8">
        <f t="shared" ca="1" si="85"/>
        <v>-9.5965383742950359E-3</v>
      </c>
      <c r="G497" s="8">
        <f t="shared" ca="1" si="86"/>
        <v>6.2810250730515884</v>
      </c>
      <c r="H497" s="8">
        <f>mu*dt</f>
        <v>2.5000000000000005E-3</v>
      </c>
      <c r="I497" s="8">
        <f t="shared" ca="1" si="87"/>
        <v>-1.2118853503721152E-2</v>
      </c>
      <c r="J497" s="8">
        <f t="shared" ca="1" si="88"/>
        <v>-9.6188535037211517E-3</v>
      </c>
      <c r="L497" s="8">
        <f t="shared" ca="1" si="89"/>
        <v>17.467928818479631</v>
      </c>
      <c r="M497" s="8">
        <f ca="1">mu*L496*dt</f>
        <v>4.4093955343043445E-2</v>
      </c>
      <c r="N497" s="8">
        <f t="shared" ca="1" si="90"/>
        <v>-0.21374727408078639</v>
      </c>
      <c r="O497" s="8">
        <f t="shared" ca="1" si="91"/>
        <v>-0.16965331873774295</v>
      </c>
      <c r="Q497" s="7">
        <f t="shared" si="92"/>
        <v>24.30000000000021</v>
      </c>
      <c r="R497" s="8">
        <f t="shared" ca="1" si="93"/>
        <v>-3.4819689668556197E-2</v>
      </c>
      <c r="S497" s="8">
        <f t="shared" ca="1" si="94"/>
        <v>6.2810250730515884</v>
      </c>
      <c r="T497" s="8">
        <f t="shared" ca="1" si="95"/>
        <v>17.467928818479631</v>
      </c>
    </row>
    <row r="498" spans="1:20" x14ac:dyDescent="0.25">
      <c r="A498" s="7">
        <f>A497+dt</f>
        <v>24.350000000000211</v>
      </c>
      <c r="B498" s="8">
        <f t="shared" ca="1" si="84"/>
        <v>-2.7379476688870405E-2</v>
      </c>
      <c r="C498" s="8">
        <f ca="1">lambda*(a-B497)*dt</f>
        <v>3.4819689668556201E-3</v>
      </c>
      <c r="D498" s="8">
        <f ca="1">sigma*SQRT(dt)*_xlfn.NORM.S.INV(RAND())</f>
        <v>3.9582440128301715E-3</v>
      </c>
      <c r="E498" s="8">
        <f t="shared" ca="1" si="85"/>
        <v>7.4402129796857916E-3</v>
      </c>
      <c r="G498" s="8">
        <f t="shared" ca="1" si="86"/>
        <v>6.2874833170644182</v>
      </c>
      <c r="H498" s="8">
        <f>mu*dt</f>
        <v>2.5000000000000005E-3</v>
      </c>
      <c r="I498" s="8">
        <f t="shared" ca="1" si="87"/>
        <v>3.9582440128301715E-3</v>
      </c>
      <c r="J498" s="8">
        <f t="shared" ca="1" si="88"/>
        <v>6.458244012830172E-3</v>
      </c>
      <c r="L498" s="8">
        <f t="shared" ca="1" si="89"/>
        <v>17.58074096518812</v>
      </c>
      <c r="M498" s="8">
        <f ca="1">mu*L497*dt</f>
        <v>4.3669822046199083E-2</v>
      </c>
      <c r="N498" s="8">
        <f t="shared" ca="1" si="90"/>
        <v>6.9142324662290616E-2</v>
      </c>
      <c r="O498" s="8">
        <f t="shared" ca="1" si="91"/>
        <v>0.1128121467084897</v>
      </c>
      <c r="Q498" s="7">
        <f t="shared" si="92"/>
        <v>24.350000000000211</v>
      </c>
      <c r="R498" s="8">
        <f t="shared" ca="1" si="93"/>
        <v>-2.7379476688870405E-2</v>
      </c>
      <c r="S498" s="8">
        <f t="shared" ca="1" si="94"/>
        <v>6.2874833170644182</v>
      </c>
      <c r="T498" s="8">
        <f t="shared" ca="1" si="95"/>
        <v>17.58074096518812</v>
      </c>
    </row>
    <row r="499" spans="1:20" x14ac:dyDescent="0.25">
      <c r="A499" s="7">
        <f>A498+dt</f>
        <v>24.400000000000212</v>
      </c>
      <c r="B499" s="8">
        <f t="shared" ca="1" si="84"/>
        <v>-2.9898285721287526E-2</v>
      </c>
      <c r="C499" s="8">
        <f ca="1">lambda*(a-B498)*dt</f>
        <v>2.7379476688870405E-3</v>
      </c>
      <c r="D499" s="8">
        <f ca="1">sigma*SQRT(dt)*_xlfn.NORM.S.INV(RAND())</f>
        <v>-5.256756701304161E-3</v>
      </c>
      <c r="E499" s="8">
        <f t="shared" ca="1" si="85"/>
        <v>-2.5188090324171205E-3</v>
      </c>
      <c r="G499" s="8">
        <f t="shared" ca="1" si="86"/>
        <v>6.2847265603631142</v>
      </c>
      <c r="H499" s="8">
        <f>mu*dt</f>
        <v>2.5000000000000005E-3</v>
      </c>
      <c r="I499" s="8">
        <f t="shared" ca="1" si="87"/>
        <v>-5.256756701304161E-3</v>
      </c>
      <c r="J499" s="8">
        <f t="shared" ca="1" si="88"/>
        <v>-2.7567567013041605E-3</v>
      </c>
      <c r="L499" s="8">
        <f t="shared" ca="1" si="89"/>
        <v>17.532275139718447</v>
      </c>
      <c r="M499" s="8">
        <f ca="1">mu*L498*dt</f>
        <v>4.395185241297031E-2</v>
      </c>
      <c r="N499" s="8">
        <f t="shared" ca="1" si="90"/>
        <v>-9.2417677882645238E-2</v>
      </c>
      <c r="O499" s="8">
        <f t="shared" ca="1" si="91"/>
        <v>-4.8465825469674928E-2</v>
      </c>
      <c r="Q499" s="7">
        <f t="shared" si="92"/>
        <v>24.400000000000212</v>
      </c>
      <c r="R499" s="8">
        <f t="shared" ca="1" si="93"/>
        <v>-2.9898285721287526E-2</v>
      </c>
      <c r="S499" s="8">
        <f t="shared" ca="1" si="94"/>
        <v>6.2847265603631142</v>
      </c>
      <c r="T499" s="8">
        <f t="shared" ca="1" si="95"/>
        <v>17.532275139718447</v>
      </c>
    </row>
    <row r="500" spans="1:20" x14ac:dyDescent="0.25">
      <c r="A500" s="7">
        <f>A499+dt</f>
        <v>24.450000000000212</v>
      </c>
      <c r="B500" s="8">
        <f t="shared" ca="1" si="84"/>
        <v>-1.9379762994537971E-2</v>
      </c>
      <c r="C500" s="8">
        <f ca="1">lambda*(a-B499)*dt</f>
        <v>2.9898285721287527E-3</v>
      </c>
      <c r="D500" s="8">
        <f ca="1">sigma*SQRT(dt)*_xlfn.NORM.S.INV(RAND())</f>
        <v>7.528694154620803E-3</v>
      </c>
      <c r="E500" s="8">
        <f t="shared" ca="1" si="85"/>
        <v>1.0518522726749555E-2</v>
      </c>
      <c r="G500" s="8">
        <f t="shared" ca="1" si="86"/>
        <v>6.2947552545177352</v>
      </c>
      <c r="H500" s="8">
        <f>mu*dt</f>
        <v>2.5000000000000005E-3</v>
      </c>
      <c r="I500" s="8">
        <f t="shared" ca="1" si="87"/>
        <v>7.528694154620803E-3</v>
      </c>
      <c r="J500" s="8">
        <f t="shared" ca="1" si="88"/>
        <v>1.0028694154620803E-2</v>
      </c>
      <c r="L500" s="8">
        <f t="shared" ca="1" si="89"/>
        <v>17.708100964929343</v>
      </c>
      <c r="M500" s="8">
        <f ca="1">mu*L499*dt</f>
        <v>4.383068784929612E-2</v>
      </c>
      <c r="N500" s="8">
        <f t="shared" ca="1" si="90"/>
        <v>0.1319951373616019</v>
      </c>
      <c r="O500" s="8">
        <f t="shared" ca="1" si="91"/>
        <v>0.17582582521089801</v>
      </c>
      <c r="Q500" s="7">
        <f t="shared" si="92"/>
        <v>24.450000000000212</v>
      </c>
      <c r="R500" s="8">
        <f t="shared" ca="1" si="93"/>
        <v>-1.9379762994537971E-2</v>
      </c>
      <c r="S500" s="8">
        <f t="shared" ca="1" si="94"/>
        <v>6.2947552545177352</v>
      </c>
      <c r="T500" s="8">
        <f t="shared" ca="1" si="95"/>
        <v>17.708100964929343</v>
      </c>
    </row>
    <row r="501" spans="1:20" x14ac:dyDescent="0.25">
      <c r="A501" s="7">
        <f>A500+dt</f>
        <v>24.500000000000213</v>
      </c>
      <c r="B501" s="8">
        <f t="shared" ca="1" si="84"/>
        <v>-7.9957365451999215E-3</v>
      </c>
      <c r="C501" s="8">
        <f ca="1">lambda*(a-B500)*dt</f>
        <v>1.9379762994537972E-3</v>
      </c>
      <c r="D501" s="8">
        <f ca="1">sigma*SQRT(dt)*_xlfn.NORM.S.INV(RAND())</f>
        <v>9.4460501498842518E-3</v>
      </c>
      <c r="E501" s="8">
        <f t="shared" ca="1" si="85"/>
        <v>1.138402644933805E-2</v>
      </c>
      <c r="G501" s="8">
        <f t="shared" ca="1" si="86"/>
        <v>6.3067013046676195</v>
      </c>
      <c r="H501" s="8">
        <f>mu*dt</f>
        <v>2.5000000000000005E-3</v>
      </c>
      <c r="I501" s="8">
        <f t="shared" ca="1" si="87"/>
        <v>9.4460501498842518E-3</v>
      </c>
      <c r="J501" s="8">
        <f t="shared" ca="1" si="88"/>
        <v>1.1946050149884252E-2</v>
      </c>
      <c r="L501" s="8">
        <f t="shared" ca="1" si="89"/>
        <v>17.919642827115602</v>
      </c>
      <c r="M501" s="8">
        <f ca="1">mu*L500*dt</f>
        <v>4.4270252412323366E-2</v>
      </c>
      <c r="N501" s="8">
        <f t="shared" ca="1" si="90"/>
        <v>0.16727160977393629</v>
      </c>
      <c r="O501" s="8">
        <f t="shared" ca="1" si="91"/>
        <v>0.21154186218625964</v>
      </c>
      <c r="Q501" s="7">
        <f t="shared" si="92"/>
        <v>24.500000000000213</v>
      </c>
      <c r="R501" s="8">
        <f t="shared" ca="1" si="93"/>
        <v>-7.9957365451999215E-3</v>
      </c>
      <c r="S501" s="8">
        <f t="shared" ca="1" si="94"/>
        <v>6.3067013046676195</v>
      </c>
      <c r="T501" s="8">
        <f t="shared" ca="1" si="95"/>
        <v>17.919642827115602</v>
      </c>
    </row>
    <row r="502" spans="1:20" x14ac:dyDescent="0.25">
      <c r="A502" s="7">
        <f>A501+dt</f>
        <v>24.550000000000214</v>
      </c>
      <c r="B502" s="8">
        <f t="shared" ca="1" si="84"/>
        <v>1.2004102266490405E-3</v>
      </c>
      <c r="C502" s="8">
        <f ca="1">lambda*(a-B501)*dt</f>
        <v>7.9957365451999217E-4</v>
      </c>
      <c r="D502" s="8">
        <f ca="1">sigma*SQRT(dt)*_xlfn.NORM.S.INV(RAND())</f>
        <v>8.3965731173289704E-3</v>
      </c>
      <c r="E502" s="8">
        <f t="shared" ca="1" si="85"/>
        <v>9.196146771848962E-3</v>
      </c>
      <c r="G502" s="8">
        <f t="shared" ca="1" si="86"/>
        <v>6.3175978777849489</v>
      </c>
      <c r="H502" s="8">
        <f>mu*dt</f>
        <v>2.5000000000000005E-3</v>
      </c>
      <c r="I502" s="8">
        <f t="shared" ca="1" si="87"/>
        <v>8.3965731173289704E-3</v>
      </c>
      <c r="J502" s="8">
        <f t="shared" ca="1" si="88"/>
        <v>1.0896573117328971E-2</v>
      </c>
      <c r="L502" s="8">
        <f t="shared" ca="1" si="89"/>
        <v>18.114905525417687</v>
      </c>
      <c r="M502" s="8">
        <f ca="1">mu*L501*dt</f>
        <v>4.4799107067789008E-2</v>
      </c>
      <c r="N502" s="8">
        <f t="shared" ca="1" si="90"/>
        <v>0.15046359123429578</v>
      </c>
      <c r="O502" s="8">
        <f t="shared" ca="1" si="91"/>
        <v>0.19526269830208479</v>
      </c>
      <c r="Q502" s="7">
        <f t="shared" si="92"/>
        <v>24.550000000000214</v>
      </c>
      <c r="R502" s="8">
        <f t="shared" ca="1" si="93"/>
        <v>1.2004102266490405E-3</v>
      </c>
      <c r="S502" s="8">
        <f t="shared" ca="1" si="94"/>
        <v>6.3175978777849489</v>
      </c>
      <c r="T502" s="8">
        <f t="shared" ca="1" si="95"/>
        <v>18.114905525417687</v>
      </c>
    </row>
    <row r="503" spans="1:20" x14ac:dyDescent="0.25">
      <c r="A503" s="7">
        <f>A502+dt</f>
        <v>24.600000000000215</v>
      </c>
      <c r="B503" s="8">
        <f t="shared" ca="1" si="84"/>
        <v>5.6592447705941466E-3</v>
      </c>
      <c r="C503" s="8">
        <f ca="1">lambda*(a-B502)*dt</f>
        <v>-1.2004102266490406E-4</v>
      </c>
      <c r="D503" s="8">
        <f ca="1">sigma*SQRT(dt)*_xlfn.NORM.S.INV(RAND())</f>
        <v>4.5788755666100103E-3</v>
      </c>
      <c r="E503" s="8">
        <f t="shared" ca="1" si="85"/>
        <v>4.458834543945106E-3</v>
      </c>
      <c r="G503" s="8">
        <f t="shared" ca="1" si="86"/>
        <v>6.3246767533515591</v>
      </c>
      <c r="H503" s="8">
        <f>mu*dt</f>
        <v>2.5000000000000005E-3</v>
      </c>
      <c r="I503" s="8">
        <f t="shared" ca="1" si="87"/>
        <v>4.5788755666100103E-3</v>
      </c>
      <c r="J503" s="8">
        <f t="shared" ca="1" si="88"/>
        <v>7.0788755666100107E-3</v>
      </c>
      <c r="L503" s="8">
        <f t="shared" ca="1" si="89"/>
        <v>18.243138687533015</v>
      </c>
      <c r="M503" s="8">
        <f ca="1">mu*L502*dt</f>
        <v>4.5287263813544226E-2</v>
      </c>
      <c r="N503" s="8">
        <f t="shared" ca="1" si="90"/>
        <v>8.2945898301783713E-2</v>
      </c>
      <c r="O503" s="8">
        <f t="shared" ca="1" si="91"/>
        <v>0.12823316211532793</v>
      </c>
      <c r="Q503" s="7">
        <f t="shared" si="92"/>
        <v>24.600000000000215</v>
      </c>
      <c r="R503" s="8">
        <f t="shared" ca="1" si="93"/>
        <v>5.6592447705941466E-3</v>
      </c>
      <c r="S503" s="8">
        <f t="shared" ca="1" si="94"/>
        <v>6.3246767533515591</v>
      </c>
      <c r="T503" s="8">
        <f t="shared" ca="1" si="95"/>
        <v>18.243138687533015</v>
      </c>
    </row>
    <row r="504" spans="1:20" x14ac:dyDescent="0.25">
      <c r="A504" s="7">
        <f>A503+dt</f>
        <v>24.650000000000215</v>
      </c>
      <c r="B504" s="8">
        <f t="shared" ca="1" si="84"/>
        <v>2.4699247520155085E-3</v>
      </c>
      <c r="C504" s="8">
        <f ca="1">lambda*(a-B503)*dt</f>
        <v>-5.6592447705941463E-4</v>
      </c>
      <c r="D504" s="8">
        <f ca="1">sigma*SQRT(dt)*_xlfn.NORM.S.INV(RAND())</f>
        <v>-2.6233955415192233E-3</v>
      </c>
      <c r="E504" s="8">
        <f t="shared" ca="1" si="85"/>
        <v>-3.189320018578638E-3</v>
      </c>
      <c r="G504" s="8">
        <f t="shared" ca="1" si="86"/>
        <v>6.3245533578100401</v>
      </c>
      <c r="H504" s="8">
        <f>mu*dt</f>
        <v>2.5000000000000005E-3</v>
      </c>
      <c r="I504" s="8">
        <f t="shared" ca="1" si="87"/>
        <v>-2.6233955415192233E-3</v>
      </c>
      <c r="J504" s="8">
        <f t="shared" ca="1" si="88"/>
        <v>-1.2339554151922279E-4</v>
      </c>
      <c r="L504" s="8">
        <f t="shared" ca="1" si="89"/>
        <v>18.240887565555656</v>
      </c>
      <c r="M504" s="8">
        <f ca="1">mu*L503*dt</f>
        <v>4.5607846718832543E-2</v>
      </c>
      <c r="N504" s="8">
        <f t="shared" ca="1" si="90"/>
        <v>-4.7858968696190968E-2</v>
      </c>
      <c r="O504" s="8">
        <f t="shared" ca="1" si="91"/>
        <v>-2.2511219773584251E-3</v>
      </c>
      <c r="Q504" s="7">
        <f t="shared" si="92"/>
        <v>24.650000000000215</v>
      </c>
      <c r="R504" s="8">
        <f t="shared" ca="1" si="93"/>
        <v>2.4699247520155085E-3</v>
      </c>
      <c r="S504" s="8">
        <f t="shared" ca="1" si="94"/>
        <v>6.3245533578100401</v>
      </c>
      <c r="T504" s="8">
        <f t="shared" ca="1" si="95"/>
        <v>18.240887565555656</v>
      </c>
    </row>
    <row r="505" spans="1:20" x14ac:dyDescent="0.25">
      <c r="A505" s="7">
        <f>A504+dt</f>
        <v>24.700000000000216</v>
      </c>
      <c r="B505" s="8">
        <f t="shared" ca="1" si="84"/>
        <v>8.5622945661523869E-3</v>
      </c>
      <c r="C505" s="8">
        <f ca="1">lambda*(a-B504)*dt</f>
        <v>-2.4699247520155088E-4</v>
      </c>
      <c r="D505" s="8">
        <f ca="1">sigma*SQRT(dt)*_xlfn.NORM.S.INV(RAND())</f>
        <v>6.3393622893384285E-3</v>
      </c>
      <c r="E505" s="8">
        <f t="shared" ca="1" si="85"/>
        <v>6.092369814136878E-3</v>
      </c>
      <c r="G505" s="8">
        <f t="shared" ca="1" si="86"/>
        <v>6.3333927200993783</v>
      </c>
      <c r="H505" s="8">
        <f>mu*dt</f>
        <v>2.5000000000000005E-3</v>
      </c>
      <c r="I505" s="8">
        <f t="shared" ca="1" si="87"/>
        <v>6.3393622893384285E-3</v>
      </c>
      <c r="J505" s="8">
        <f t="shared" ca="1" si="88"/>
        <v>8.8393622893384281E-3</v>
      </c>
      <c r="L505" s="8">
        <f t="shared" ca="1" si="89"/>
        <v>18.402125379226693</v>
      </c>
      <c r="M505" s="8">
        <f ca="1">mu*L504*dt</f>
        <v>4.5602218913889145E-2</v>
      </c>
      <c r="N505" s="8">
        <f t="shared" ca="1" si="90"/>
        <v>0.11563559475714578</v>
      </c>
      <c r="O505" s="8">
        <f t="shared" ca="1" si="91"/>
        <v>0.16123781367103493</v>
      </c>
      <c r="Q505" s="7">
        <f t="shared" si="92"/>
        <v>24.700000000000216</v>
      </c>
      <c r="R505" s="8">
        <f t="shared" ca="1" si="93"/>
        <v>8.5622945661523869E-3</v>
      </c>
      <c r="S505" s="8">
        <f t="shared" ca="1" si="94"/>
        <v>6.3333927200993783</v>
      </c>
      <c r="T505" s="8">
        <f t="shared" ca="1" si="95"/>
        <v>18.402125379226693</v>
      </c>
    </row>
    <row r="506" spans="1:20" x14ac:dyDescent="0.25">
      <c r="A506" s="7">
        <f>A505+dt</f>
        <v>24.750000000000217</v>
      </c>
      <c r="B506" s="8">
        <f t="shared" ca="1" si="84"/>
        <v>6.0036308798265053E-3</v>
      </c>
      <c r="C506" s="8">
        <f ca="1">lambda*(a-B505)*dt</f>
        <v>-8.5622945661523869E-4</v>
      </c>
      <c r="D506" s="8">
        <f ca="1">sigma*SQRT(dt)*_xlfn.NORM.S.INV(RAND())</f>
        <v>-1.7024342297106429E-3</v>
      </c>
      <c r="E506" s="8">
        <f t="shared" ca="1" si="85"/>
        <v>-2.5586636863258816E-3</v>
      </c>
      <c r="G506" s="8">
        <f t="shared" ca="1" si="86"/>
        <v>6.3341902858696679</v>
      </c>
      <c r="H506" s="8">
        <f>mu*dt</f>
        <v>2.5000000000000005E-3</v>
      </c>
      <c r="I506" s="8">
        <f t="shared" ca="1" si="87"/>
        <v>-1.7024342297106429E-3</v>
      </c>
      <c r="J506" s="8">
        <f t="shared" ca="1" si="88"/>
        <v>7.9756577028935755E-4</v>
      </c>
      <c r="L506" s="8">
        <f t="shared" ca="1" si="89"/>
        <v>18.416802284529737</v>
      </c>
      <c r="M506" s="8">
        <f ca="1">mu*L505*dt</f>
        <v>4.6005313448066736E-2</v>
      </c>
      <c r="N506" s="8">
        <f t="shared" ca="1" si="90"/>
        <v>-3.1328408145022468E-2</v>
      </c>
      <c r="O506" s="8">
        <f t="shared" ca="1" si="91"/>
        <v>1.4676905303044267E-2</v>
      </c>
      <c r="Q506" s="7">
        <f t="shared" si="92"/>
        <v>24.750000000000217</v>
      </c>
      <c r="R506" s="8">
        <f t="shared" ca="1" si="93"/>
        <v>6.0036308798265053E-3</v>
      </c>
      <c r="S506" s="8">
        <f t="shared" ca="1" si="94"/>
        <v>6.3341902858696679</v>
      </c>
      <c r="T506" s="8">
        <f t="shared" ca="1" si="95"/>
        <v>18.416802284529737</v>
      </c>
    </row>
    <row r="507" spans="1:20" x14ac:dyDescent="0.25">
      <c r="A507" s="7">
        <f>A506+dt</f>
        <v>24.800000000000217</v>
      </c>
      <c r="B507" s="8">
        <f t="shared" ca="1" si="84"/>
        <v>2.2834925140592906E-3</v>
      </c>
      <c r="C507" s="8">
        <f ca="1">lambda*(a-B506)*dt</f>
        <v>-6.003630879826506E-4</v>
      </c>
      <c r="D507" s="8">
        <f ca="1">sigma*SQRT(dt)*_xlfn.NORM.S.INV(RAND())</f>
        <v>-3.119775277784564E-3</v>
      </c>
      <c r="E507" s="8">
        <f t="shared" ca="1" si="85"/>
        <v>-3.7201383657672147E-3</v>
      </c>
      <c r="G507" s="8">
        <f t="shared" ca="1" si="86"/>
        <v>6.3335705105918834</v>
      </c>
      <c r="H507" s="8">
        <f>mu*dt</f>
        <v>2.5000000000000005E-3</v>
      </c>
      <c r="I507" s="8">
        <f t="shared" ca="1" si="87"/>
        <v>-3.119775277784564E-3</v>
      </c>
      <c r="J507" s="8">
        <f t="shared" ca="1" si="88"/>
        <v>-6.1977527778456351E-4</v>
      </c>
      <c r="L507" s="8">
        <f t="shared" ca="1" si="89"/>
        <v>18.40538800577794</v>
      </c>
      <c r="M507" s="8">
        <f ca="1">mu*L506*dt</f>
        <v>4.6042005711324351E-2</v>
      </c>
      <c r="N507" s="8">
        <f t="shared" ca="1" si="90"/>
        <v>-5.7456284463122155E-2</v>
      </c>
      <c r="O507" s="8">
        <f t="shared" ca="1" si="91"/>
        <v>-1.1414278751797804E-2</v>
      </c>
      <c r="Q507" s="7">
        <f t="shared" si="92"/>
        <v>24.800000000000217</v>
      </c>
      <c r="R507" s="8">
        <f t="shared" ca="1" si="93"/>
        <v>2.2834925140592906E-3</v>
      </c>
      <c r="S507" s="8">
        <f t="shared" ca="1" si="94"/>
        <v>6.3335705105918834</v>
      </c>
      <c r="T507" s="8">
        <f t="shared" ca="1" si="95"/>
        <v>18.40538800577794</v>
      </c>
    </row>
    <row r="508" spans="1:20" x14ac:dyDescent="0.25">
      <c r="A508" s="7">
        <f>A507+dt</f>
        <v>24.850000000000218</v>
      </c>
      <c r="B508" s="8">
        <f t="shared" ca="1" si="84"/>
        <v>-3.8190608187114736E-3</v>
      </c>
      <c r="C508" s="8">
        <f ca="1">lambda*(a-B507)*dt</f>
        <v>-2.2834925140592907E-4</v>
      </c>
      <c r="D508" s="8">
        <f ca="1">sigma*SQRT(dt)*_xlfn.NORM.S.INV(RAND())</f>
        <v>-5.8742040813648351E-3</v>
      </c>
      <c r="E508" s="8">
        <f t="shared" ca="1" si="85"/>
        <v>-6.1025533327707642E-3</v>
      </c>
      <c r="G508" s="8">
        <f t="shared" ca="1" si="86"/>
        <v>6.3301963065105182</v>
      </c>
      <c r="H508" s="8">
        <f>mu*dt</f>
        <v>2.5000000000000005E-3</v>
      </c>
      <c r="I508" s="8">
        <f t="shared" ca="1" si="87"/>
        <v>-5.8742040813648351E-3</v>
      </c>
      <c r="J508" s="8">
        <f t="shared" ca="1" si="88"/>
        <v>-3.3742040813648346E-3</v>
      </c>
      <c r="L508" s="8">
        <f t="shared" ca="1" si="89"/>
        <v>18.343284470449742</v>
      </c>
      <c r="M508" s="8">
        <f ca="1">mu*L507*dt</f>
        <v>4.6013470014444856E-2</v>
      </c>
      <c r="N508" s="8">
        <f t="shared" ca="1" si="90"/>
        <v>-0.10811700534264417</v>
      </c>
      <c r="O508" s="8">
        <f t="shared" ca="1" si="91"/>
        <v>-6.2103535328199309E-2</v>
      </c>
      <c r="Q508" s="7">
        <f t="shared" si="92"/>
        <v>24.850000000000218</v>
      </c>
      <c r="R508" s="8">
        <f t="shared" ca="1" si="93"/>
        <v>-3.8190608187114736E-3</v>
      </c>
      <c r="S508" s="8">
        <f t="shared" ca="1" si="94"/>
        <v>6.3301963065105182</v>
      </c>
      <c r="T508" s="8">
        <f t="shared" ca="1" si="95"/>
        <v>18.343284470449742</v>
      </c>
    </row>
    <row r="509" spans="1:20" x14ac:dyDescent="0.25">
      <c r="A509" s="7">
        <f>A508+dt</f>
        <v>24.900000000000219</v>
      </c>
      <c r="B509" s="8">
        <f t="shared" ca="1" si="84"/>
        <v>-1.4061964515743562E-3</v>
      </c>
      <c r="C509" s="8">
        <f ca="1">lambda*(a-B508)*dt</f>
        <v>3.8190608187114739E-4</v>
      </c>
      <c r="D509" s="8">
        <f ca="1">sigma*SQRT(dt)*_xlfn.NORM.S.INV(RAND())</f>
        <v>2.0309582852659699E-3</v>
      </c>
      <c r="E509" s="8">
        <f t="shared" ca="1" si="85"/>
        <v>2.4128643671371174E-3</v>
      </c>
      <c r="G509" s="8">
        <f t="shared" ca="1" si="86"/>
        <v>6.3347272647957844</v>
      </c>
      <c r="H509" s="8">
        <f>mu*dt</f>
        <v>2.5000000000000005E-3</v>
      </c>
      <c r="I509" s="8">
        <f t="shared" ca="1" si="87"/>
        <v>2.0309582852659699E-3</v>
      </c>
      <c r="J509" s="8">
        <f t="shared" ca="1" si="88"/>
        <v>4.5309582852659704E-3</v>
      </c>
      <c r="L509" s="8">
        <f t="shared" ca="1" si="89"/>
        <v>18.426397127200119</v>
      </c>
      <c r="M509" s="8">
        <f ca="1">mu*L508*dt</f>
        <v>4.5858211176124361E-2</v>
      </c>
      <c r="N509" s="8">
        <f t="shared" ca="1" si="90"/>
        <v>3.7254445574250505E-2</v>
      </c>
      <c r="O509" s="8">
        <f t="shared" ca="1" si="91"/>
        <v>8.3112656750374866E-2</v>
      </c>
      <c r="Q509" s="7">
        <f t="shared" si="92"/>
        <v>24.900000000000219</v>
      </c>
      <c r="R509" s="8">
        <f t="shared" ca="1" si="93"/>
        <v>-1.4061964515743562E-3</v>
      </c>
      <c r="S509" s="8">
        <f t="shared" ca="1" si="94"/>
        <v>6.3347272647957844</v>
      </c>
      <c r="T509" s="8">
        <f t="shared" ca="1" si="95"/>
        <v>18.426397127200119</v>
      </c>
    </row>
    <row r="510" spans="1:20" x14ac:dyDescent="0.25">
      <c r="A510" s="7">
        <f>A509+dt</f>
        <v>24.95000000000022</v>
      </c>
      <c r="B510" s="8">
        <f t="shared" ca="1" si="84"/>
        <v>-1.7997125202869568E-2</v>
      </c>
      <c r="C510" s="8">
        <f ca="1">lambda*(a-B509)*dt</f>
        <v>1.4061964515743562E-4</v>
      </c>
      <c r="D510" s="8">
        <f ca="1">sigma*SQRT(dt)*_xlfn.NORM.S.INV(RAND())</f>
        <v>-1.6731548396452647E-2</v>
      </c>
      <c r="E510" s="8">
        <f t="shared" ca="1" si="85"/>
        <v>-1.6590928751295211E-2</v>
      </c>
      <c r="G510" s="8">
        <f t="shared" ca="1" si="86"/>
        <v>6.3204957163993321</v>
      </c>
      <c r="H510" s="8">
        <f>mu*dt</f>
        <v>2.5000000000000005E-3</v>
      </c>
      <c r="I510" s="8">
        <f t="shared" ca="1" si="87"/>
        <v>-1.6731548396452647E-2</v>
      </c>
      <c r="J510" s="8">
        <f t="shared" ca="1" si="88"/>
        <v>-1.4231548396452647E-2</v>
      </c>
      <c r="L510" s="8">
        <f t="shared" ca="1" si="89"/>
        <v>18.164160964712114</v>
      </c>
      <c r="M510" s="8">
        <f ca="1">mu*L509*dt</f>
        <v>4.6065992818000306E-2</v>
      </c>
      <c r="N510" s="8">
        <f t="shared" ca="1" si="90"/>
        <v>-0.3083021553060048</v>
      </c>
      <c r="O510" s="8">
        <f t="shared" ca="1" si="91"/>
        <v>-0.26223616248800452</v>
      </c>
      <c r="Q510" s="7">
        <f t="shared" si="92"/>
        <v>24.95000000000022</v>
      </c>
      <c r="R510" s="8">
        <f t="shared" ca="1" si="93"/>
        <v>-1.7997125202869568E-2</v>
      </c>
      <c r="S510" s="8">
        <f t="shared" ca="1" si="94"/>
        <v>6.3204957163993321</v>
      </c>
      <c r="T510" s="8">
        <f t="shared" ca="1" si="95"/>
        <v>18.164160964712114</v>
      </c>
    </row>
    <row r="511" spans="1:20" x14ac:dyDescent="0.25">
      <c r="A511" s="7">
        <f>A510+dt</f>
        <v>25.00000000000022</v>
      </c>
      <c r="B511" s="8">
        <f t="shared" ca="1" si="84"/>
        <v>-2.6405300999451115E-2</v>
      </c>
      <c r="C511" s="8">
        <f ca="1">lambda*(a-B510)*dt</f>
        <v>1.7997125202869569E-3</v>
      </c>
      <c r="D511" s="8">
        <f ca="1">sigma*SQRT(dt)*_xlfn.NORM.S.INV(RAND())</f>
        <v>-1.0207888316868504E-2</v>
      </c>
      <c r="E511" s="8">
        <f t="shared" ca="1" si="85"/>
        <v>-8.4081757965815476E-3</v>
      </c>
      <c r="G511" s="8">
        <f t="shared" ca="1" si="86"/>
        <v>6.3127878280824632</v>
      </c>
      <c r="H511" s="8">
        <f>mu*dt</f>
        <v>2.5000000000000005E-3</v>
      </c>
      <c r="I511" s="8">
        <f t="shared" ca="1" si="87"/>
        <v>-1.0207888316868504E-2</v>
      </c>
      <c r="J511" s="8">
        <f t="shared" ca="1" si="88"/>
        <v>-7.7078883168685032E-3</v>
      </c>
      <c r="L511" s="8">
        <f t="shared" ca="1" si="89"/>
        <v>18.024153640626491</v>
      </c>
      <c r="M511" s="8">
        <f ca="1">mu*L510*dt</f>
        <v>4.5410402411780293E-2</v>
      </c>
      <c r="N511" s="8">
        <f t="shared" ca="1" si="90"/>
        <v>-0.18541772649740371</v>
      </c>
      <c r="O511" s="8">
        <f t="shared" ca="1" si="91"/>
        <v>-0.14000732408562341</v>
      </c>
      <c r="Q511" s="7">
        <f t="shared" si="92"/>
        <v>25.00000000000022</v>
      </c>
      <c r="R511" s="8">
        <f t="shared" ca="1" si="93"/>
        <v>-2.6405300999451115E-2</v>
      </c>
      <c r="S511" s="8">
        <f t="shared" ca="1" si="94"/>
        <v>6.3127878280824632</v>
      </c>
      <c r="T511" s="8">
        <f t="shared" ca="1" si="95"/>
        <v>18.024153640626491</v>
      </c>
    </row>
    <row r="512" spans="1:20" x14ac:dyDescent="0.25">
      <c r="A512" s="7">
        <f>A511+dt</f>
        <v>25.050000000000221</v>
      </c>
      <c r="B512" s="8">
        <f t="shared" ca="1" si="84"/>
        <v>-2.3991277222007161E-2</v>
      </c>
      <c r="C512" s="8">
        <f ca="1">lambda*(a-B511)*dt</f>
        <v>2.6405300999451115E-3</v>
      </c>
      <c r="D512" s="8">
        <f ca="1">sigma*SQRT(dt)*_xlfn.NORM.S.INV(RAND())</f>
        <v>-2.2650632250115693E-4</v>
      </c>
      <c r="E512" s="8">
        <f t="shared" ca="1" si="85"/>
        <v>2.4140237774439546E-3</v>
      </c>
      <c r="G512" s="8">
        <f t="shared" ca="1" si="86"/>
        <v>6.3150613217599618</v>
      </c>
      <c r="H512" s="8">
        <f>mu*dt</f>
        <v>2.5000000000000005E-3</v>
      </c>
      <c r="I512" s="8">
        <f t="shared" ca="1" si="87"/>
        <v>-2.2650632250115693E-4</v>
      </c>
      <c r="J512" s="8">
        <f t="shared" ca="1" si="88"/>
        <v>2.2734936774988436E-3</v>
      </c>
      <c r="L512" s="8">
        <f t="shared" ca="1" si="89"/>
        <v>18.065131439970724</v>
      </c>
      <c r="M512" s="8">
        <f ca="1">mu*L511*dt</f>
        <v>4.5060384101566237E-2</v>
      </c>
      <c r="N512" s="8">
        <f t="shared" ca="1" si="90"/>
        <v>-4.0825847573341453E-3</v>
      </c>
      <c r="O512" s="8">
        <f t="shared" ca="1" si="91"/>
        <v>4.097779934423209E-2</v>
      </c>
      <c r="Q512" s="7">
        <f t="shared" si="92"/>
        <v>25.050000000000221</v>
      </c>
      <c r="R512" s="8">
        <f t="shared" ca="1" si="93"/>
        <v>-2.3991277222007161E-2</v>
      </c>
      <c r="S512" s="8">
        <f t="shared" ca="1" si="94"/>
        <v>6.3150613217599618</v>
      </c>
      <c r="T512" s="8">
        <f t="shared" ca="1" si="95"/>
        <v>18.065131439970724</v>
      </c>
    </row>
  </sheetData>
  <mergeCells count="3">
    <mergeCell ref="A7:E7"/>
    <mergeCell ref="G7:J7"/>
    <mergeCell ref="L7:O7"/>
  </mergeCells>
  <phoneticPr fontId="2" type="noConversion"/>
  <pageMargins left="0.7" right="0.7" top="0.75" bottom="0.75" header="0.3" footer="0.3"/>
  <pageSetup orientation="portrait" horizontalDpi="4294967293" verticalDpi="0" r:id="rId1"/>
  <headerFooter>
    <oddHeader>&amp;L&amp;"Calibri"&amp;12&amp;K03C03CPublic&amp;1#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Ornstein Uhlenbeck Process</vt:lpstr>
      <vt:lpstr>Chart1</vt:lpstr>
      <vt:lpstr>a</vt:lpstr>
      <vt:lpstr>dt</vt:lpstr>
      <vt:lpstr>lambda</vt:lpstr>
      <vt:lpstr>mu</vt:lpstr>
      <vt:lpstr>sigma</vt:lpstr>
      <vt:lpstr>XStart</vt:lpstr>
    </vt:vector>
  </TitlesOfParts>
  <Company>Clark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Weinberger</dc:creator>
  <cp:lastModifiedBy>Victor Chen</cp:lastModifiedBy>
  <dcterms:created xsi:type="dcterms:W3CDTF">2015-10-05T00:47:41Z</dcterms:created>
  <dcterms:modified xsi:type="dcterms:W3CDTF">2026-09-22T19:09:42Z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2022-04-08T00:54:36Z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edb9386c-93d6-4189-b9a3-7b53cf1070fe</vt:lpwstr>
  </property>
  <property fmtid="{D5CDD505-2E9C-101B-9397-08002B2CF9AE}" pid="8" name="MSIP_Label_794a5f65-4bbe-4bbe-bb66-e23e35795661_ContentBits">
    <vt:lpwstr>1</vt:lpwstr>
  </property>
  <property fmtid="{D5CDD505-2E9C-101B-9397-08002B2CF9AE}" pid="9" name="MerckAIPLabel">
    <vt:lpwstr>Public</vt:lpwstr>
  </property>
  <property fmtid="{D5CDD505-2E9C-101B-9397-08002B2CF9AE}" pid="10" name="MerckAIPDataExchange">
    <vt:lpwstr>!MRKMIP@Public</vt:lpwstr>
  </property>
</Properties>
</file>